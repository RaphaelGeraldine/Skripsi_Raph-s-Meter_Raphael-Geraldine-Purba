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 Geraldine\OneDrive - UNIVERSITAS INDONESIA\TRUI\Semester 7\skripsi\TEST MOTOR\MOTOR 1 DATA\"/>
    </mc:Choice>
  </mc:AlternateContent>
  <xr:revisionPtr revIDLastSave="0" documentId="13_ncr:1_{CDE8888C-5653-4C06-BE86-A196A7170F06}" xr6:coauthVersionLast="47" xr6:coauthVersionMax="47" xr10:uidLastSave="{00000000-0000-0000-0000-000000000000}"/>
  <bookViews>
    <workbookView xWindow="-110" yWindow="-110" windowWidth="19420" windowHeight="11020" xr2:uid="{8B8983AD-7D3E-4788-98CA-5C4859FA145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E65" i="1" l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CE64" i="1"/>
  <c r="CB64" i="1"/>
  <c r="BY64" i="1"/>
  <c r="BV64" i="1"/>
  <c r="BS64" i="1"/>
  <c r="BP64" i="1"/>
  <c r="BM64" i="1"/>
  <c r="BJ64" i="1"/>
  <c r="BG64" i="1"/>
  <c r="BD64" i="1"/>
  <c r="BA64" i="1"/>
  <c r="AX64" i="1"/>
  <c r="AU64" i="1"/>
  <c r="AR64" i="1"/>
  <c r="AO64" i="1"/>
  <c r="AL64" i="1"/>
  <c r="AI64" i="1"/>
  <c r="AF64" i="1"/>
  <c r="AC64" i="1"/>
  <c r="Z64" i="1"/>
  <c r="W64" i="1"/>
  <c r="T64" i="1"/>
  <c r="Q64" i="1"/>
  <c r="N64" i="1"/>
  <c r="K64" i="1"/>
  <c r="H64" i="1"/>
  <c r="CE63" i="1"/>
  <c r="CB63" i="1"/>
  <c r="BY63" i="1"/>
  <c r="BV63" i="1"/>
  <c r="BS63" i="1"/>
  <c r="BP63" i="1"/>
  <c r="BM63" i="1"/>
  <c r="BJ63" i="1"/>
  <c r="BG63" i="1"/>
  <c r="BD63" i="1"/>
  <c r="BA63" i="1"/>
  <c r="AX63" i="1"/>
  <c r="AU63" i="1"/>
  <c r="AR63" i="1"/>
  <c r="AO63" i="1"/>
  <c r="AL63" i="1"/>
  <c r="AI63" i="1"/>
  <c r="AF63" i="1"/>
  <c r="AC63" i="1"/>
  <c r="Z63" i="1"/>
  <c r="W63" i="1"/>
  <c r="T63" i="1"/>
  <c r="Q63" i="1"/>
  <c r="N63" i="1"/>
  <c r="K63" i="1"/>
  <c r="H63" i="1"/>
  <c r="CE62" i="1"/>
  <c r="CB62" i="1"/>
  <c r="BY62" i="1"/>
  <c r="BV62" i="1"/>
  <c r="BS62" i="1"/>
  <c r="BP62" i="1"/>
  <c r="BM62" i="1"/>
  <c r="BJ62" i="1"/>
  <c r="BG62" i="1"/>
  <c r="BD62" i="1"/>
  <c r="BA62" i="1"/>
  <c r="AX62" i="1"/>
  <c r="AU62" i="1"/>
  <c r="AR62" i="1"/>
  <c r="AO62" i="1"/>
  <c r="AL62" i="1"/>
  <c r="AI62" i="1"/>
  <c r="AF62" i="1"/>
  <c r="AC62" i="1"/>
  <c r="Z62" i="1"/>
  <c r="W62" i="1"/>
  <c r="T62" i="1"/>
  <c r="Q62" i="1"/>
  <c r="N62" i="1"/>
  <c r="K62" i="1"/>
  <c r="H62" i="1"/>
  <c r="CE61" i="1"/>
  <c r="CB61" i="1"/>
  <c r="BY61" i="1"/>
  <c r="BV61" i="1"/>
  <c r="BS61" i="1"/>
  <c r="BP61" i="1"/>
  <c r="BM61" i="1"/>
  <c r="BJ61" i="1"/>
  <c r="BG61" i="1"/>
  <c r="BD61" i="1"/>
  <c r="BA61" i="1"/>
  <c r="AX61" i="1"/>
  <c r="AU61" i="1"/>
  <c r="AR61" i="1"/>
  <c r="AO61" i="1"/>
  <c r="AL61" i="1"/>
  <c r="AI61" i="1"/>
  <c r="AF61" i="1"/>
  <c r="AC61" i="1"/>
  <c r="Z61" i="1"/>
  <c r="W61" i="1"/>
  <c r="T61" i="1"/>
  <c r="Q61" i="1"/>
  <c r="N61" i="1"/>
  <c r="K61" i="1"/>
  <c r="H61" i="1"/>
  <c r="CE60" i="1"/>
  <c r="CB60" i="1"/>
  <c r="BY60" i="1"/>
  <c r="BV60" i="1"/>
  <c r="BS60" i="1"/>
  <c r="BP60" i="1"/>
  <c r="BM60" i="1"/>
  <c r="BJ60" i="1"/>
  <c r="BG60" i="1"/>
  <c r="BD60" i="1"/>
  <c r="BA60" i="1"/>
  <c r="AX60" i="1"/>
  <c r="AU60" i="1"/>
  <c r="AR60" i="1"/>
  <c r="AO60" i="1"/>
  <c r="AL60" i="1"/>
  <c r="AI60" i="1"/>
  <c r="AF60" i="1"/>
  <c r="AC60" i="1"/>
  <c r="Z60" i="1"/>
  <c r="W60" i="1"/>
  <c r="T60" i="1"/>
  <c r="Q60" i="1"/>
  <c r="N60" i="1"/>
  <c r="K60" i="1"/>
  <c r="H60" i="1"/>
  <c r="CE59" i="1"/>
  <c r="CB59" i="1"/>
  <c r="BY59" i="1"/>
  <c r="BV59" i="1"/>
  <c r="BS59" i="1"/>
  <c r="BP59" i="1"/>
  <c r="BM59" i="1"/>
  <c r="BJ59" i="1"/>
  <c r="BG59" i="1"/>
  <c r="BD59" i="1"/>
  <c r="BA59" i="1"/>
  <c r="AX59" i="1"/>
  <c r="AU59" i="1"/>
  <c r="AR59" i="1"/>
  <c r="AO59" i="1"/>
  <c r="AL59" i="1"/>
  <c r="AI59" i="1"/>
  <c r="AF59" i="1"/>
  <c r="AC59" i="1"/>
  <c r="Z59" i="1"/>
  <c r="W59" i="1"/>
  <c r="T59" i="1"/>
  <c r="Q59" i="1"/>
  <c r="N59" i="1"/>
  <c r="K59" i="1"/>
  <c r="H59" i="1"/>
  <c r="CE58" i="1"/>
  <c r="CB58" i="1"/>
  <c r="BY58" i="1"/>
  <c r="BV58" i="1"/>
  <c r="BS58" i="1"/>
  <c r="BP58" i="1"/>
  <c r="BM58" i="1"/>
  <c r="BJ58" i="1"/>
  <c r="BG58" i="1"/>
  <c r="BD58" i="1"/>
  <c r="BA58" i="1"/>
  <c r="AX58" i="1"/>
  <c r="AU58" i="1"/>
  <c r="AR58" i="1"/>
  <c r="AO58" i="1"/>
  <c r="AL58" i="1"/>
  <c r="AI58" i="1"/>
  <c r="AF58" i="1"/>
  <c r="AC58" i="1"/>
  <c r="Z58" i="1"/>
  <c r="W58" i="1"/>
  <c r="T58" i="1"/>
  <c r="Q58" i="1"/>
  <c r="N58" i="1"/>
  <c r="K58" i="1"/>
  <c r="H58" i="1"/>
  <c r="CE57" i="1"/>
  <c r="CB57" i="1"/>
  <c r="BY57" i="1"/>
  <c r="BV57" i="1"/>
  <c r="BS57" i="1"/>
  <c r="BP57" i="1"/>
  <c r="BM57" i="1"/>
  <c r="BJ57" i="1"/>
  <c r="BG57" i="1"/>
  <c r="BD57" i="1"/>
  <c r="BA57" i="1"/>
  <c r="AX57" i="1"/>
  <c r="AU57" i="1"/>
  <c r="AR57" i="1"/>
  <c r="AO57" i="1"/>
  <c r="AL57" i="1"/>
  <c r="AI57" i="1"/>
  <c r="AF57" i="1"/>
  <c r="AC57" i="1"/>
  <c r="Z57" i="1"/>
  <c r="W57" i="1"/>
  <c r="T57" i="1"/>
  <c r="Q57" i="1"/>
  <c r="N57" i="1"/>
  <c r="K57" i="1"/>
  <c r="H57" i="1"/>
  <c r="CE56" i="1"/>
  <c r="CB56" i="1"/>
  <c r="BY56" i="1"/>
  <c r="BV56" i="1"/>
  <c r="BS56" i="1"/>
  <c r="BP56" i="1"/>
  <c r="BM56" i="1"/>
  <c r="BJ56" i="1"/>
  <c r="BG56" i="1"/>
  <c r="BD56" i="1"/>
  <c r="BA56" i="1"/>
  <c r="AX56" i="1"/>
  <c r="AU56" i="1"/>
  <c r="AR56" i="1"/>
  <c r="AO56" i="1"/>
  <c r="AL56" i="1"/>
  <c r="AI56" i="1"/>
  <c r="AF56" i="1"/>
  <c r="AC56" i="1"/>
  <c r="Z56" i="1"/>
  <c r="W56" i="1"/>
  <c r="T56" i="1"/>
  <c r="Q56" i="1"/>
  <c r="N56" i="1"/>
  <c r="K56" i="1"/>
  <c r="H56" i="1"/>
  <c r="CE55" i="1"/>
  <c r="CB55" i="1"/>
  <c r="BY55" i="1"/>
  <c r="BV55" i="1"/>
  <c r="BS55" i="1"/>
  <c r="BP55" i="1"/>
  <c r="BM55" i="1"/>
  <c r="BJ55" i="1"/>
  <c r="BG55" i="1"/>
  <c r="BD55" i="1"/>
  <c r="BA55" i="1"/>
  <c r="AX55" i="1"/>
  <c r="AU55" i="1"/>
  <c r="AR55" i="1"/>
  <c r="AO55" i="1"/>
  <c r="AL55" i="1"/>
  <c r="AI55" i="1"/>
  <c r="AF55" i="1"/>
  <c r="AC55" i="1"/>
  <c r="Z55" i="1"/>
  <c r="W55" i="1"/>
  <c r="T55" i="1"/>
  <c r="Q55" i="1"/>
  <c r="N55" i="1"/>
  <c r="K55" i="1"/>
  <c r="H55" i="1"/>
  <c r="CE54" i="1"/>
  <c r="CB54" i="1"/>
  <c r="BY54" i="1"/>
  <c r="BV54" i="1"/>
  <c r="BS54" i="1"/>
  <c r="BP54" i="1"/>
  <c r="BM54" i="1"/>
  <c r="BJ54" i="1"/>
  <c r="BG54" i="1"/>
  <c r="BD54" i="1"/>
  <c r="BA54" i="1"/>
  <c r="AX54" i="1"/>
  <c r="AU54" i="1"/>
  <c r="AR54" i="1"/>
  <c r="AO54" i="1"/>
  <c r="AL54" i="1"/>
  <c r="AI54" i="1"/>
  <c r="AF54" i="1"/>
  <c r="AC54" i="1"/>
  <c r="Z54" i="1"/>
  <c r="W54" i="1"/>
  <c r="T54" i="1"/>
  <c r="Q54" i="1"/>
  <c r="N54" i="1"/>
  <c r="K54" i="1"/>
  <c r="H54" i="1"/>
  <c r="CE53" i="1"/>
  <c r="CB53" i="1"/>
  <c r="BY53" i="1"/>
  <c r="BV53" i="1"/>
  <c r="BS53" i="1"/>
  <c r="BP53" i="1"/>
  <c r="BM53" i="1"/>
  <c r="BJ53" i="1"/>
  <c r="BG53" i="1"/>
  <c r="BD53" i="1"/>
  <c r="BA53" i="1"/>
  <c r="AX53" i="1"/>
  <c r="AU53" i="1"/>
  <c r="AR53" i="1"/>
  <c r="AO53" i="1"/>
  <c r="AL53" i="1"/>
  <c r="AI53" i="1"/>
  <c r="AF53" i="1"/>
  <c r="AC53" i="1"/>
  <c r="Z53" i="1"/>
  <c r="W53" i="1"/>
  <c r="T53" i="1"/>
  <c r="Q53" i="1"/>
  <c r="N53" i="1"/>
  <c r="K53" i="1"/>
  <c r="H53" i="1"/>
  <c r="CE52" i="1"/>
  <c r="CB52" i="1"/>
  <c r="BY52" i="1"/>
  <c r="BV52" i="1"/>
  <c r="BS52" i="1"/>
  <c r="BP52" i="1"/>
  <c r="BM52" i="1"/>
  <c r="BJ52" i="1"/>
  <c r="BG52" i="1"/>
  <c r="BD52" i="1"/>
  <c r="BA52" i="1"/>
  <c r="AX52" i="1"/>
  <c r="AU52" i="1"/>
  <c r="AR52" i="1"/>
  <c r="AO52" i="1"/>
  <c r="AL52" i="1"/>
  <c r="AI52" i="1"/>
  <c r="AF52" i="1"/>
  <c r="AC52" i="1"/>
  <c r="Z52" i="1"/>
  <c r="W52" i="1"/>
  <c r="T52" i="1"/>
  <c r="Q52" i="1"/>
  <c r="N52" i="1"/>
  <c r="K52" i="1"/>
  <c r="H52" i="1"/>
  <c r="CE51" i="1"/>
  <c r="CB51" i="1"/>
  <c r="BY51" i="1"/>
  <c r="BV51" i="1"/>
  <c r="BS51" i="1"/>
  <c r="BP51" i="1"/>
  <c r="BM51" i="1"/>
  <c r="BJ51" i="1"/>
  <c r="BG51" i="1"/>
  <c r="BD51" i="1"/>
  <c r="BA51" i="1"/>
  <c r="AX51" i="1"/>
  <c r="AU51" i="1"/>
  <c r="AR51" i="1"/>
  <c r="AO51" i="1"/>
  <c r="AL51" i="1"/>
  <c r="AI51" i="1"/>
  <c r="AF51" i="1"/>
  <c r="AC51" i="1"/>
  <c r="Z51" i="1"/>
  <c r="W51" i="1"/>
  <c r="T51" i="1"/>
  <c r="Q51" i="1"/>
  <c r="N51" i="1"/>
  <c r="K51" i="1"/>
  <c r="H51" i="1"/>
  <c r="CE50" i="1"/>
  <c r="CB50" i="1"/>
  <c r="BY50" i="1"/>
  <c r="BV50" i="1"/>
  <c r="BS50" i="1"/>
  <c r="BP50" i="1"/>
  <c r="BM50" i="1"/>
  <c r="BJ50" i="1"/>
  <c r="BG50" i="1"/>
  <c r="BD50" i="1"/>
  <c r="BA50" i="1"/>
  <c r="AX50" i="1"/>
  <c r="AU50" i="1"/>
  <c r="AR50" i="1"/>
  <c r="AO50" i="1"/>
  <c r="AL50" i="1"/>
  <c r="AI50" i="1"/>
  <c r="AF50" i="1"/>
  <c r="AC50" i="1"/>
  <c r="Z50" i="1"/>
  <c r="W50" i="1"/>
  <c r="T50" i="1"/>
  <c r="Q50" i="1"/>
  <c r="N50" i="1"/>
  <c r="K50" i="1"/>
  <c r="H50" i="1"/>
  <c r="CE49" i="1"/>
  <c r="CB49" i="1"/>
  <c r="BY49" i="1"/>
  <c r="BV49" i="1"/>
  <c r="BS49" i="1"/>
  <c r="BP49" i="1"/>
  <c r="BM49" i="1"/>
  <c r="BJ49" i="1"/>
  <c r="BG49" i="1"/>
  <c r="BD49" i="1"/>
  <c r="BA49" i="1"/>
  <c r="AX49" i="1"/>
  <c r="AU49" i="1"/>
  <c r="AR49" i="1"/>
  <c r="AO49" i="1"/>
  <c r="AL49" i="1"/>
  <c r="AI49" i="1"/>
  <c r="AF49" i="1"/>
  <c r="AC49" i="1"/>
  <c r="Z49" i="1"/>
  <c r="W49" i="1"/>
  <c r="T49" i="1"/>
  <c r="Q49" i="1"/>
  <c r="N49" i="1"/>
  <c r="K49" i="1"/>
  <c r="H49" i="1"/>
  <c r="CE48" i="1"/>
  <c r="CB48" i="1"/>
  <c r="BY48" i="1"/>
  <c r="BV48" i="1"/>
  <c r="BS48" i="1"/>
  <c r="BP48" i="1"/>
  <c r="BM48" i="1"/>
  <c r="BJ48" i="1"/>
  <c r="BG48" i="1"/>
  <c r="BD48" i="1"/>
  <c r="BA48" i="1"/>
  <c r="AX48" i="1"/>
  <c r="AU48" i="1"/>
  <c r="AR48" i="1"/>
  <c r="AO48" i="1"/>
  <c r="AL48" i="1"/>
  <c r="AI48" i="1"/>
  <c r="AF48" i="1"/>
  <c r="AC48" i="1"/>
  <c r="Z48" i="1"/>
  <c r="W48" i="1"/>
  <c r="T48" i="1"/>
  <c r="Q48" i="1"/>
  <c r="N48" i="1"/>
  <c r="K48" i="1"/>
  <c r="H48" i="1"/>
  <c r="CE47" i="1"/>
  <c r="CB47" i="1"/>
  <c r="BY47" i="1"/>
  <c r="BV47" i="1"/>
  <c r="BS47" i="1"/>
  <c r="BP47" i="1"/>
  <c r="BM47" i="1"/>
  <c r="BJ47" i="1"/>
  <c r="BG47" i="1"/>
  <c r="BD47" i="1"/>
  <c r="BA47" i="1"/>
  <c r="AX47" i="1"/>
  <c r="AU47" i="1"/>
  <c r="AR47" i="1"/>
  <c r="AO47" i="1"/>
  <c r="AL47" i="1"/>
  <c r="AI47" i="1"/>
  <c r="AF47" i="1"/>
  <c r="AC47" i="1"/>
  <c r="Z47" i="1"/>
  <c r="W47" i="1"/>
  <c r="T47" i="1"/>
  <c r="Q47" i="1"/>
  <c r="N47" i="1"/>
  <c r="K47" i="1"/>
  <c r="H47" i="1"/>
  <c r="CE46" i="1"/>
  <c r="CB46" i="1"/>
  <c r="BY46" i="1"/>
  <c r="BV46" i="1"/>
  <c r="BS46" i="1"/>
  <c r="BP46" i="1"/>
  <c r="BM46" i="1"/>
  <c r="BJ46" i="1"/>
  <c r="BG46" i="1"/>
  <c r="BD46" i="1"/>
  <c r="BA46" i="1"/>
  <c r="AX46" i="1"/>
  <c r="AU46" i="1"/>
  <c r="AR46" i="1"/>
  <c r="AO46" i="1"/>
  <c r="AL46" i="1"/>
  <c r="AI46" i="1"/>
  <c r="AF46" i="1"/>
  <c r="AC46" i="1"/>
  <c r="Z46" i="1"/>
  <c r="W46" i="1"/>
  <c r="T46" i="1"/>
  <c r="Q46" i="1"/>
  <c r="N46" i="1"/>
  <c r="K46" i="1"/>
  <c r="H46" i="1"/>
  <c r="CE45" i="1"/>
  <c r="CB45" i="1"/>
  <c r="BY45" i="1"/>
  <c r="BV45" i="1"/>
  <c r="BS45" i="1"/>
  <c r="BP45" i="1"/>
  <c r="BM45" i="1"/>
  <c r="BJ45" i="1"/>
  <c r="BG45" i="1"/>
  <c r="BD45" i="1"/>
  <c r="BA45" i="1"/>
  <c r="AX45" i="1"/>
  <c r="AU45" i="1"/>
  <c r="AR45" i="1"/>
  <c r="AO45" i="1"/>
  <c r="AL45" i="1"/>
  <c r="AI45" i="1"/>
  <c r="AF45" i="1"/>
  <c r="AC45" i="1"/>
  <c r="Z45" i="1"/>
  <c r="W45" i="1"/>
  <c r="T45" i="1"/>
  <c r="Q45" i="1"/>
  <c r="N45" i="1"/>
  <c r="K45" i="1"/>
  <c r="H45" i="1"/>
  <c r="CE44" i="1"/>
  <c r="CB44" i="1"/>
  <c r="BY44" i="1"/>
  <c r="BV44" i="1"/>
  <c r="BS44" i="1"/>
  <c r="BP44" i="1"/>
  <c r="BM44" i="1"/>
  <c r="BJ44" i="1"/>
  <c r="BG44" i="1"/>
  <c r="BD44" i="1"/>
  <c r="BA44" i="1"/>
  <c r="AX44" i="1"/>
  <c r="AU44" i="1"/>
  <c r="AR44" i="1"/>
  <c r="AO44" i="1"/>
  <c r="AL44" i="1"/>
  <c r="AI44" i="1"/>
  <c r="AF44" i="1"/>
  <c r="AC44" i="1"/>
  <c r="Z44" i="1"/>
  <c r="W44" i="1"/>
  <c r="T44" i="1"/>
  <c r="Q44" i="1"/>
  <c r="N44" i="1"/>
  <c r="K44" i="1"/>
  <c r="H44" i="1"/>
  <c r="CE43" i="1"/>
  <c r="CB43" i="1"/>
  <c r="BY43" i="1"/>
  <c r="BV43" i="1"/>
  <c r="BS43" i="1"/>
  <c r="BP43" i="1"/>
  <c r="BM43" i="1"/>
  <c r="BJ43" i="1"/>
  <c r="BG43" i="1"/>
  <c r="BD43" i="1"/>
  <c r="BA43" i="1"/>
  <c r="AX43" i="1"/>
  <c r="AU43" i="1"/>
  <c r="AR43" i="1"/>
  <c r="AO43" i="1"/>
  <c r="AL43" i="1"/>
  <c r="AI43" i="1"/>
  <c r="AF43" i="1"/>
  <c r="AC43" i="1"/>
  <c r="Z43" i="1"/>
  <c r="W43" i="1"/>
  <c r="T43" i="1"/>
  <c r="Q43" i="1"/>
  <c r="N43" i="1"/>
  <c r="K43" i="1"/>
  <c r="H43" i="1"/>
  <c r="CE42" i="1"/>
  <c r="CB42" i="1"/>
  <c r="BY42" i="1"/>
  <c r="BV42" i="1"/>
  <c r="BS42" i="1"/>
  <c r="BP42" i="1"/>
  <c r="BM42" i="1"/>
  <c r="BJ42" i="1"/>
  <c r="BG42" i="1"/>
  <c r="BD42" i="1"/>
  <c r="BA42" i="1"/>
  <c r="AX42" i="1"/>
  <c r="AU42" i="1"/>
  <c r="AR42" i="1"/>
  <c r="AO42" i="1"/>
  <c r="AL42" i="1"/>
  <c r="AI42" i="1"/>
  <c r="AF42" i="1"/>
  <c r="AC42" i="1"/>
  <c r="Z42" i="1"/>
  <c r="W42" i="1"/>
  <c r="T42" i="1"/>
  <c r="Q42" i="1"/>
  <c r="N42" i="1"/>
  <c r="K42" i="1"/>
  <c r="H42" i="1"/>
  <c r="CE41" i="1"/>
  <c r="CB41" i="1"/>
  <c r="BY41" i="1"/>
  <c r="BV41" i="1"/>
  <c r="BS41" i="1"/>
  <c r="BP41" i="1"/>
  <c r="BM41" i="1"/>
  <c r="BJ41" i="1"/>
  <c r="BG41" i="1"/>
  <c r="BD41" i="1"/>
  <c r="BA41" i="1"/>
  <c r="AX41" i="1"/>
  <c r="AU41" i="1"/>
  <c r="AR41" i="1"/>
  <c r="AO41" i="1"/>
  <c r="AL41" i="1"/>
  <c r="AI41" i="1"/>
  <c r="AF41" i="1"/>
  <c r="AC41" i="1"/>
  <c r="Z41" i="1"/>
  <c r="W41" i="1"/>
  <c r="T41" i="1"/>
  <c r="Q41" i="1"/>
  <c r="N41" i="1"/>
  <c r="K41" i="1"/>
  <c r="H41" i="1"/>
  <c r="CE40" i="1"/>
  <c r="CB40" i="1"/>
  <c r="BY40" i="1"/>
  <c r="BV40" i="1"/>
  <c r="BS40" i="1"/>
  <c r="BP40" i="1"/>
  <c r="BM40" i="1"/>
  <c r="BJ40" i="1"/>
  <c r="BG40" i="1"/>
  <c r="BD40" i="1"/>
  <c r="BA40" i="1"/>
  <c r="AX40" i="1"/>
  <c r="AU40" i="1"/>
  <c r="AR40" i="1"/>
  <c r="AO40" i="1"/>
  <c r="AL40" i="1"/>
  <c r="AI40" i="1"/>
  <c r="AF40" i="1"/>
  <c r="AC40" i="1"/>
  <c r="Z40" i="1"/>
  <c r="W40" i="1"/>
  <c r="T40" i="1"/>
  <c r="Q40" i="1"/>
  <c r="N40" i="1"/>
  <c r="K40" i="1"/>
  <c r="H40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CE8" i="1"/>
  <c r="CB8" i="1"/>
  <c r="BY8" i="1"/>
  <c r="BV8" i="1"/>
  <c r="BS8" i="1"/>
  <c r="BP8" i="1"/>
  <c r="BM8" i="1"/>
  <c r="BJ8" i="1"/>
  <c r="BG8" i="1"/>
  <c r="BD8" i="1"/>
  <c r="BA8" i="1"/>
  <c r="AX8" i="1"/>
  <c r="AU8" i="1"/>
  <c r="AR8" i="1"/>
  <c r="AO8" i="1"/>
  <c r="AL8" i="1"/>
  <c r="AI8" i="1"/>
  <c r="AF8" i="1"/>
  <c r="AC8" i="1"/>
  <c r="Z8" i="1"/>
  <c r="W8" i="1"/>
  <c r="T8" i="1"/>
  <c r="Q8" i="1"/>
  <c r="N8" i="1"/>
  <c r="K8" i="1"/>
  <c r="H8" i="1"/>
  <c r="CE7" i="1"/>
  <c r="CB7" i="1"/>
  <c r="BY7" i="1"/>
  <c r="BV7" i="1"/>
  <c r="BS7" i="1"/>
  <c r="BP7" i="1"/>
  <c r="BM7" i="1"/>
  <c r="BJ7" i="1"/>
  <c r="BG7" i="1"/>
  <c r="BD7" i="1"/>
  <c r="BA7" i="1"/>
  <c r="AX7" i="1"/>
  <c r="AU7" i="1"/>
  <c r="AR7" i="1"/>
  <c r="AO7" i="1"/>
  <c r="AL7" i="1"/>
  <c r="AI7" i="1"/>
  <c r="AF7" i="1"/>
  <c r="AC7" i="1"/>
  <c r="Z7" i="1"/>
  <c r="W7" i="1"/>
  <c r="T7" i="1"/>
  <c r="Q7" i="1"/>
  <c r="N7" i="1"/>
  <c r="K7" i="1"/>
  <c r="H7" i="1"/>
  <c r="CE6" i="1"/>
  <c r="CB6" i="1"/>
  <c r="BY6" i="1"/>
  <c r="BV6" i="1"/>
  <c r="BS6" i="1"/>
  <c r="BP6" i="1"/>
  <c r="BM6" i="1"/>
  <c r="BJ6" i="1"/>
  <c r="BG6" i="1"/>
  <c r="BD6" i="1"/>
  <c r="BA6" i="1"/>
  <c r="AX6" i="1"/>
  <c r="AU6" i="1"/>
  <c r="AR6" i="1"/>
  <c r="AO6" i="1"/>
  <c r="AL6" i="1"/>
  <c r="AI6" i="1"/>
  <c r="AF6" i="1"/>
  <c r="AC6" i="1"/>
  <c r="Z6" i="1"/>
  <c r="W6" i="1"/>
  <c r="T6" i="1"/>
  <c r="Q6" i="1"/>
  <c r="N6" i="1"/>
  <c r="K6" i="1"/>
  <c r="H6" i="1"/>
  <c r="CE5" i="1"/>
  <c r="CB5" i="1"/>
  <c r="BY5" i="1"/>
  <c r="BV5" i="1"/>
  <c r="BS5" i="1"/>
  <c r="BP5" i="1"/>
  <c r="BM5" i="1"/>
  <c r="BJ5" i="1"/>
  <c r="BG5" i="1"/>
  <c r="BD5" i="1"/>
  <c r="BA5" i="1"/>
  <c r="AX5" i="1"/>
  <c r="AU5" i="1"/>
  <c r="AR5" i="1"/>
  <c r="AO5" i="1"/>
  <c r="AL5" i="1"/>
  <c r="AI5" i="1"/>
  <c r="AF5" i="1"/>
  <c r="AC5" i="1"/>
  <c r="Z5" i="1"/>
  <c r="W5" i="1"/>
  <c r="T5" i="1"/>
  <c r="Q5" i="1"/>
  <c r="N5" i="1"/>
  <c r="K5" i="1"/>
  <c r="H5" i="1"/>
</calcChain>
</file>

<file path=xl/sharedStrings.xml><?xml version="1.0" encoding="utf-8"?>
<sst xmlns="http://schemas.openxmlformats.org/spreadsheetml/2006/main" count="171" uniqueCount="37">
  <si>
    <t>server_time</t>
  </si>
  <si>
    <t>device</t>
  </si>
  <si>
    <t>n</t>
  </si>
  <si>
    <t>idx</t>
  </si>
  <si>
    <t>ts_ms</t>
  </si>
  <si>
    <t>VRS</t>
  </si>
  <si>
    <t>VST</t>
  </si>
  <si>
    <t>VTR</t>
  </si>
  <si>
    <t>VRN</t>
  </si>
  <si>
    <t>VSN</t>
  </si>
  <si>
    <t>VTN</t>
  </si>
  <si>
    <t>IR</t>
  </si>
  <si>
    <t>IS</t>
  </si>
  <si>
    <t>IT</t>
  </si>
  <si>
    <t>pfR</t>
  </si>
  <si>
    <t>pfS</t>
  </si>
  <si>
    <t>pfT</t>
  </si>
  <si>
    <t>fR</t>
  </si>
  <si>
    <t>fS</t>
  </si>
  <si>
    <t>fT</t>
  </si>
  <si>
    <t>vib_speed_mm_s</t>
  </si>
  <si>
    <t>Tmotor_C</t>
  </si>
  <si>
    <t>IoT</t>
  </si>
  <si>
    <t>Actual</t>
  </si>
  <si>
    <t>Error</t>
  </si>
  <si>
    <t>ESP32A_MULTIMON</t>
  </si>
  <si>
    <t>Rata-rata</t>
  </si>
  <si>
    <t>PR_W</t>
  </si>
  <si>
    <t>PS_W</t>
  </si>
  <si>
    <t>PT_W</t>
  </si>
  <si>
    <t>SR_VA</t>
  </si>
  <si>
    <t>SS_VA</t>
  </si>
  <si>
    <t>ST_VA</t>
  </si>
  <si>
    <t>QR_VAr</t>
  </si>
  <si>
    <t>QS_VAr</t>
  </si>
  <si>
    <t>QT_VAr</t>
  </si>
  <si>
    <t>Raph's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</si>
</sst>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0.000%"/>
    <numFmt numFmtId="165" formatCode="_-* #,##0_-;\-* #,##0_-;_-* &quot;-&quot;??_-;_-@_-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left" vertical="center" indent="1"/>
    </xf>
    <xf numFmtId="0" fontId="0" fillId="0" borderId="1" xfId="2" applyNumberFormat="1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3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0" borderId="1" xfId="0" applyBorder="1"/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55392761745647"/>
          <c:y val="8.8381651994797833E-2"/>
          <c:w val="0.86287504741784027"/>
          <c:h val="0.73003584367366292"/>
        </c:manualLayout>
      </c:layout>
      <c:scatterChart>
        <c:scatterStyle val="smoothMarker"/>
        <c:varyColors val="0"/>
        <c:ser>
          <c:idx val="0"/>
          <c:order val="0"/>
          <c:tx>
            <c:v>Raph's Meter VRS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Sheet1!$F$5:$F$64</c:f>
              <c:numCache>
                <c:formatCode>General</c:formatCode>
                <c:ptCount val="60"/>
                <c:pt idx="0">
                  <c:v>403.2</c:v>
                </c:pt>
                <c:pt idx="1">
                  <c:v>403.21</c:v>
                </c:pt>
                <c:pt idx="2">
                  <c:v>403.21</c:v>
                </c:pt>
                <c:pt idx="3">
                  <c:v>403.04</c:v>
                </c:pt>
                <c:pt idx="4">
                  <c:v>403.04</c:v>
                </c:pt>
                <c:pt idx="5">
                  <c:v>403.04</c:v>
                </c:pt>
                <c:pt idx="6">
                  <c:v>403.04</c:v>
                </c:pt>
                <c:pt idx="7">
                  <c:v>402.86</c:v>
                </c:pt>
                <c:pt idx="8">
                  <c:v>402.86</c:v>
                </c:pt>
                <c:pt idx="9">
                  <c:v>403.04</c:v>
                </c:pt>
                <c:pt idx="10">
                  <c:v>403.21</c:v>
                </c:pt>
                <c:pt idx="11">
                  <c:v>403.04</c:v>
                </c:pt>
                <c:pt idx="12">
                  <c:v>403.21</c:v>
                </c:pt>
                <c:pt idx="13">
                  <c:v>403.04</c:v>
                </c:pt>
                <c:pt idx="14">
                  <c:v>403.21</c:v>
                </c:pt>
                <c:pt idx="15">
                  <c:v>403.21</c:v>
                </c:pt>
                <c:pt idx="16">
                  <c:v>403.21</c:v>
                </c:pt>
                <c:pt idx="17">
                  <c:v>403.21</c:v>
                </c:pt>
                <c:pt idx="18">
                  <c:v>403.56</c:v>
                </c:pt>
                <c:pt idx="19">
                  <c:v>403.38</c:v>
                </c:pt>
                <c:pt idx="20">
                  <c:v>403.38</c:v>
                </c:pt>
                <c:pt idx="21">
                  <c:v>403.38</c:v>
                </c:pt>
                <c:pt idx="22">
                  <c:v>403.38</c:v>
                </c:pt>
                <c:pt idx="23">
                  <c:v>403.56</c:v>
                </c:pt>
                <c:pt idx="24">
                  <c:v>403.56</c:v>
                </c:pt>
                <c:pt idx="25">
                  <c:v>403.56</c:v>
                </c:pt>
                <c:pt idx="26">
                  <c:v>403.38</c:v>
                </c:pt>
                <c:pt idx="27">
                  <c:v>403.38</c:v>
                </c:pt>
                <c:pt idx="28">
                  <c:v>403.21</c:v>
                </c:pt>
                <c:pt idx="29">
                  <c:v>403.21</c:v>
                </c:pt>
                <c:pt idx="30">
                  <c:v>403.21</c:v>
                </c:pt>
                <c:pt idx="31">
                  <c:v>403.21</c:v>
                </c:pt>
                <c:pt idx="32">
                  <c:v>403.38</c:v>
                </c:pt>
                <c:pt idx="33">
                  <c:v>403.38</c:v>
                </c:pt>
                <c:pt idx="34">
                  <c:v>403.56</c:v>
                </c:pt>
                <c:pt idx="35">
                  <c:v>403.56</c:v>
                </c:pt>
                <c:pt idx="36">
                  <c:v>403.38</c:v>
                </c:pt>
                <c:pt idx="37">
                  <c:v>403.38</c:v>
                </c:pt>
                <c:pt idx="38">
                  <c:v>403.21</c:v>
                </c:pt>
                <c:pt idx="39">
                  <c:v>403.21</c:v>
                </c:pt>
                <c:pt idx="40">
                  <c:v>403.21</c:v>
                </c:pt>
                <c:pt idx="41">
                  <c:v>403.04</c:v>
                </c:pt>
                <c:pt idx="42">
                  <c:v>403.04</c:v>
                </c:pt>
                <c:pt idx="43">
                  <c:v>403.04</c:v>
                </c:pt>
                <c:pt idx="44">
                  <c:v>403.04</c:v>
                </c:pt>
                <c:pt idx="45">
                  <c:v>403.21</c:v>
                </c:pt>
                <c:pt idx="46">
                  <c:v>403.21</c:v>
                </c:pt>
                <c:pt idx="47">
                  <c:v>402.86</c:v>
                </c:pt>
                <c:pt idx="48">
                  <c:v>402.86</c:v>
                </c:pt>
                <c:pt idx="49">
                  <c:v>402.86</c:v>
                </c:pt>
                <c:pt idx="50">
                  <c:v>402.69</c:v>
                </c:pt>
                <c:pt idx="51">
                  <c:v>402.52</c:v>
                </c:pt>
                <c:pt idx="52">
                  <c:v>402.34</c:v>
                </c:pt>
                <c:pt idx="53">
                  <c:v>402.34</c:v>
                </c:pt>
                <c:pt idx="54">
                  <c:v>402.69</c:v>
                </c:pt>
                <c:pt idx="55">
                  <c:v>402.69</c:v>
                </c:pt>
                <c:pt idx="56">
                  <c:v>403.04</c:v>
                </c:pt>
                <c:pt idx="57">
                  <c:v>402.86</c:v>
                </c:pt>
                <c:pt idx="58">
                  <c:v>403.04</c:v>
                </c:pt>
                <c:pt idx="59">
                  <c:v>402.69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32-49C3-8ADE-80625D43C8A0}"/>
            </c:ext>
          </c:extLst>
        </c:ser>
        <c:ser>
          <c:idx val="1"/>
          <c:order val="1"/>
          <c:tx>
            <c:v>Actual VRS</c:v>
          </c:tx>
          <c:spPr>
            <a:ln w="19050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Sheet1!$G$5:$G$64</c:f>
              <c:numCache>
                <c:formatCode>General</c:formatCode>
                <c:ptCount val="60"/>
                <c:pt idx="0">
                  <c:v>404.02</c:v>
                </c:pt>
                <c:pt idx="1">
                  <c:v>404.02</c:v>
                </c:pt>
                <c:pt idx="2">
                  <c:v>404.02</c:v>
                </c:pt>
                <c:pt idx="3">
                  <c:v>404.02</c:v>
                </c:pt>
                <c:pt idx="4">
                  <c:v>404.02</c:v>
                </c:pt>
                <c:pt idx="5">
                  <c:v>404.02</c:v>
                </c:pt>
                <c:pt idx="6">
                  <c:v>404.02</c:v>
                </c:pt>
                <c:pt idx="7">
                  <c:v>404.02</c:v>
                </c:pt>
                <c:pt idx="8">
                  <c:v>404.02</c:v>
                </c:pt>
                <c:pt idx="9">
                  <c:v>404.02</c:v>
                </c:pt>
                <c:pt idx="10">
                  <c:v>404.02</c:v>
                </c:pt>
                <c:pt idx="11">
                  <c:v>404.02</c:v>
                </c:pt>
                <c:pt idx="12">
                  <c:v>404.02</c:v>
                </c:pt>
                <c:pt idx="13">
                  <c:v>404.02</c:v>
                </c:pt>
                <c:pt idx="14">
                  <c:v>403.84</c:v>
                </c:pt>
                <c:pt idx="15">
                  <c:v>403.84</c:v>
                </c:pt>
                <c:pt idx="16">
                  <c:v>403.84</c:v>
                </c:pt>
                <c:pt idx="17">
                  <c:v>403.84</c:v>
                </c:pt>
                <c:pt idx="18">
                  <c:v>403.84</c:v>
                </c:pt>
                <c:pt idx="19">
                  <c:v>403.84</c:v>
                </c:pt>
                <c:pt idx="20">
                  <c:v>403.84</c:v>
                </c:pt>
                <c:pt idx="21">
                  <c:v>403.84</c:v>
                </c:pt>
                <c:pt idx="22">
                  <c:v>403.84</c:v>
                </c:pt>
                <c:pt idx="23">
                  <c:v>403.84</c:v>
                </c:pt>
                <c:pt idx="24">
                  <c:v>403.84</c:v>
                </c:pt>
                <c:pt idx="25">
                  <c:v>402.75</c:v>
                </c:pt>
                <c:pt idx="26">
                  <c:v>404.46</c:v>
                </c:pt>
                <c:pt idx="27">
                  <c:v>404.46</c:v>
                </c:pt>
                <c:pt idx="28">
                  <c:v>404.46</c:v>
                </c:pt>
                <c:pt idx="29">
                  <c:v>404.46</c:v>
                </c:pt>
                <c:pt idx="30">
                  <c:v>404.46</c:v>
                </c:pt>
                <c:pt idx="31">
                  <c:v>404.46</c:v>
                </c:pt>
                <c:pt idx="32">
                  <c:v>404.46</c:v>
                </c:pt>
                <c:pt idx="33">
                  <c:v>404.46</c:v>
                </c:pt>
                <c:pt idx="34">
                  <c:v>404.46</c:v>
                </c:pt>
                <c:pt idx="35">
                  <c:v>404.46</c:v>
                </c:pt>
                <c:pt idx="36">
                  <c:v>404.47</c:v>
                </c:pt>
                <c:pt idx="37">
                  <c:v>404.47</c:v>
                </c:pt>
                <c:pt idx="38">
                  <c:v>404.47</c:v>
                </c:pt>
                <c:pt idx="39">
                  <c:v>404.47</c:v>
                </c:pt>
                <c:pt idx="40">
                  <c:v>404.47</c:v>
                </c:pt>
                <c:pt idx="41">
                  <c:v>404.47</c:v>
                </c:pt>
                <c:pt idx="42">
                  <c:v>404.47</c:v>
                </c:pt>
                <c:pt idx="43">
                  <c:v>404.47</c:v>
                </c:pt>
                <c:pt idx="44">
                  <c:v>404.47</c:v>
                </c:pt>
                <c:pt idx="45">
                  <c:v>404.47</c:v>
                </c:pt>
                <c:pt idx="46">
                  <c:v>404.47</c:v>
                </c:pt>
                <c:pt idx="47">
                  <c:v>404.47</c:v>
                </c:pt>
                <c:pt idx="48">
                  <c:v>404.47</c:v>
                </c:pt>
                <c:pt idx="49">
                  <c:v>404.47</c:v>
                </c:pt>
                <c:pt idx="50">
                  <c:v>403.72</c:v>
                </c:pt>
                <c:pt idx="51">
                  <c:v>403.72</c:v>
                </c:pt>
                <c:pt idx="52">
                  <c:v>403.72</c:v>
                </c:pt>
                <c:pt idx="53">
                  <c:v>403.72</c:v>
                </c:pt>
                <c:pt idx="54">
                  <c:v>403.72</c:v>
                </c:pt>
                <c:pt idx="55">
                  <c:v>403.72</c:v>
                </c:pt>
                <c:pt idx="56">
                  <c:v>403.72</c:v>
                </c:pt>
                <c:pt idx="57">
                  <c:v>403.72</c:v>
                </c:pt>
                <c:pt idx="58">
                  <c:v>403.72</c:v>
                </c:pt>
                <c:pt idx="59">
                  <c:v>403.72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F-D632-49C3-8ADE-80625D43C8A0}"/>
            </c:ext>
          </c:extLst>
        </c:ser>
        <c:ser>
          <c:idx val="2"/>
          <c:order val="2"/>
          <c:tx>
            <c:v>Raph's Meter VST</c:v>
          </c:tx>
          <c:spPr>
            <a:ln w="19050" cap="rnd">
              <a:solidFill>
                <a:srgbClr val="FFC000">
                  <a:alpha val="9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Sheet1!$I$5:$I$64</c:f>
              <c:numCache>
                <c:formatCode>General</c:formatCode>
                <c:ptCount val="60"/>
                <c:pt idx="0">
                  <c:v>404.41</c:v>
                </c:pt>
                <c:pt idx="1">
                  <c:v>404.42</c:v>
                </c:pt>
                <c:pt idx="2">
                  <c:v>404.42</c:v>
                </c:pt>
                <c:pt idx="3">
                  <c:v>404.42</c:v>
                </c:pt>
                <c:pt idx="4">
                  <c:v>404.25</c:v>
                </c:pt>
                <c:pt idx="5">
                  <c:v>404.25</c:v>
                </c:pt>
                <c:pt idx="6">
                  <c:v>404.25</c:v>
                </c:pt>
                <c:pt idx="7">
                  <c:v>404.25</c:v>
                </c:pt>
                <c:pt idx="8">
                  <c:v>404.08</c:v>
                </c:pt>
                <c:pt idx="9">
                  <c:v>404.25</c:v>
                </c:pt>
                <c:pt idx="10">
                  <c:v>404.42</c:v>
                </c:pt>
                <c:pt idx="11">
                  <c:v>404.42</c:v>
                </c:pt>
                <c:pt idx="12">
                  <c:v>404.42</c:v>
                </c:pt>
                <c:pt idx="13">
                  <c:v>404.42</c:v>
                </c:pt>
                <c:pt idx="14">
                  <c:v>404.42</c:v>
                </c:pt>
                <c:pt idx="15">
                  <c:v>404.42</c:v>
                </c:pt>
                <c:pt idx="16">
                  <c:v>404.42</c:v>
                </c:pt>
                <c:pt idx="17">
                  <c:v>404.6</c:v>
                </c:pt>
                <c:pt idx="18">
                  <c:v>404.77</c:v>
                </c:pt>
                <c:pt idx="19">
                  <c:v>404.6</c:v>
                </c:pt>
                <c:pt idx="20">
                  <c:v>404.6</c:v>
                </c:pt>
                <c:pt idx="21">
                  <c:v>404.6</c:v>
                </c:pt>
                <c:pt idx="22">
                  <c:v>404.6</c:v>
                </c:pt>
                <c:pt idx="23">
                  <c:v>404.77</c:v>
                </c:pt>
                <c:pt idx="24">
                  <c:v>404.77</c:v>
                </c:pt>
                <c:pt idx="25">
                  <c:v>404.77</c:v>
                </c:pt>
                <c:pt idx="26">
                  <c:v>404.77</c:v>
                </c:pt>
                <c:pt idx="27">
                  <c:v>404.6</c:v>
                </c:pt>
                <c:pt idx="28">
                  <c:v>404.42</c:v>
                </c:pt>
                <c:pt idx="29">
                  <c:v>404.6</c:v>
                </c:pt>
                <c:pt idx="30">
                  <c:v>404.42</c:v>
                </c:pt>
                <c:pt idx="31">
                  <c:v>404.6</c:v>
                </c:pt>
                <c:pt idx="32">
                  <c:v>404.6</c:v>
                </c:pt>
                <c:pt idx="33">
                  <c:v>404.77</c:v>
                </c:pt>
                <c:pt idx="34">
                  <c:v>404.77</c:v>
                </c:pt>
                <c:pt idx="35">
                  <c:v>404.77</c:v>
                </c:pt>
                <c:pt idx="36">
                  <c:v>404.77</c:v>
                </c:pt>
                <c:pt idx="37">
                  <c:v>404.6</c:v>
                </c:pt>
                <c:pt idx="38">
                  <c:v>404.6</c:v>
                </c:pt>
                <c:pt idx="39">
                  <c:v>404.6</c:v>
                </c:pt>
                <c:pt idx="40">
                  <c:v>404.42</c:v>
                </c:pt>
                <c:pt idx="41">
                  <c:v>404.42</c:v>
                </c:pt>
                <c:pt idx="42">
                  <c:v>404.42</c:v>
                </c:pt>
                <c:pt idx="43">
                  <c:v>404.42</c:v>
                </c:pt>
                <c:pt idx="44">
                  <c:v>404.42</c:v>
                </c:pt>
                <c:pt idx="45">
                  <c:v>404.42</c:v>
                </c:pt>
                <c:pt idx="46">
                  <c:v>404.08</c:v>
                </c:pt>
                <c:pt idx="47">
                  <c:v>404.25</c:v>
                </c:pt>
                <c:pt idx="48">
                  <c:v>404.25</c:v>
                </c:pt>
                <c:pt idx="49">
                  <c:v>404.25</c:v>
                </c:pt>
                <c:pt idx="50">
                  <c:v>404.08</c:v>
                </c:pt>
                <c:pt idx="51">
                  <c:v>403.9</c:v>
                </c:pt>
                <c:pt idx="52">
                  <c:v>403.73</c:v>
                </c:pt>
                <c:pt idx="53">
                  <c:v>403.73</c:v>
                </c:pt>
                <c:pt idx="54">
                  <c:v>403.9</c:v>
                </c:pt>
                <c:pt idx="55">
                  <c:v>404.08</c:v>
                </c:pt>
                <c:pt idx="56">
                  <c:v>404.25</c:v>
                </c:pt>
                <c:pt idx="57">
                  <c:v>404.08</c:v>
                </c:pt>
                <c:pt idx="58">
                  <c:v>404.42</c:v>
                </c:pt>
                <c:pt idx="59">
                  <c:v>404.08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D-D632-49C3-8ADE-80625D43C8A0}"/>
            </c:ext>
          </c:extLst>
        </c:ser>
        <c:ser>
          <c:idx val="3"/>
          <c:order val="3"/>
          <c:tx>
            <c:v>Actual VST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Sheet1!$J$5:$J$64</c:f>
              <c:numCache>
                <c:formatCode>General</c:formatCode>
                <c:ptCount val="60"/>
                <c:pt idx="0">
                  <c:v>404.02</c:v>
                </c:pt>
                <c:pt idx="1">
                  <c:v>404.02</c:v>
                </c:pt>
                <c:pt idx="2">
                  <c:v>404.02</c:v>
                </c:pt>
                <c:pt idx="3">
                  <c:v>404.02</c:v>
                </c:pt>
                <c:pt idx="4">
                  <c:v>404.02</c:v>
                </c:pt>
                <c:pt idx="5">
                  <c:v>404.02</c:v>
                </c:pt>
                <c:pt idx="6">
                  <c:v>404.02</c:v>
                </c:pt>
                <c:pt idx="7">
                  <c:v>404.02</c:v>
                </c:pt>
                <c:pt idx="8">
                  <c:v>404.02</c:v>
                </c:pt>
                <c:pt idx="9">
                  <c:v>404.02</c:v>
                </c:pt>
                <c:pt idx="10">
                  <c:v>404.02</c:v>
                </c:pt>
                <c:pt idx="11">
                  <c:v>404.02</c:v>
                </c:pt>
                <c:pt idx="12">
                  <c:v>404.15</c:v>
                </c:pt>
                <c:pt idx="13">
                  <c:v>404.15</c:v>
                </c:pt>
                <c:pt idx="14">
                  <c:v>404.15</c:v>
                </c:pt>
                <c:pt idx="15">
                  <c:v>404.15</c:v>
                </c:pt>
                <c:pt idx="16">
                  <c:v>404.15</c:v>
                </c:pt>
                <c:pt idx="17">
                  <c:v>404.15</c:v>
                </c:pt>
                <c:pt idx="18">
                  <c:v>404.15</c:v>
                </c:pt>
                <c:pt idx="19">
                  <c:v>404.15</c:v>
                </c:pt>
                <c:pt idx="20">
                  <c:v>404.15</c:v>
                </c:pt>
                <c:pt idx="21">
                  <c:v>404.15</c:v>
                </c:pt>
                <c:pt idx="22">
                  <c:v>404.31</c:v>
                </c:pt>
                <c:pt idx="23">
                  <c:v>404.31</c:v>
                </c:pt>
                <c:pt idx="24">
                  <c:v>404.31</c:v>
                </c:pt>
                <c:pt idx="25">
                  <c:v>404.31</c:v>
                </c:pt>
                <c:pt idx="26">
                  <c:v>404.31</c:v>
                </c:pt>
                <c:pt idx="27">
                  <c:v>404.31</c:v>
                </c:pt>
                <c:pt idx="28">
                  <c:v>404.31</c:v>
                </c:pt>
                <c:pt idx="29">
                  <c:v>404.31</c:v>
                </c:pt>
                <c:pt idx="30">
                  <c:v>404.31</c:v>
                </c:pt>
                <c:pt idx="31">
                  <c:v>404.31</c:v>
                </c:pt>
                <c:pt idx="32">
                  <c:v>404.31</c:v>
                </c:pt>
                <c:pt idx="33">
                  <c:v>402.62</c:v>
                </c:pt>
                <c:pt idx="34">
                  <c:v>402.62</c:v>
                </c:pt>
                <c:pt idx="35">
                  <c:v>402.62</c:v>
                </c:pt>
                <c:pt idx="36">
                  <c:v>402.62</c:v>
                </c:pt>
                <c:pt idx="37">
                  <c:v>402.62</c:v>
                </c:pt>
                <c:pt idx="38">
                  <c:v>402.62</c:v>
                </c:pt>
                <c:pt idx="39">
                  <c:v>402.62</c:v>
                </c:pt>
                <c:pt idx="40">
                  <c:v>402.62</c:v>
                </c:pt>
                <c:pt idx="41">
                  <c:v>402.62</c:v>
                </c:pt>
                <c:pt idx="42">
                  <c:v>403.85</c:v>
                </c:pt>
                <c:pt idx="43">
                  <c:v>403.85</c:v>
                </c:pt>
                <c:pt idx="44">
                  <c:v>403.85</c:v>
                </c:pt>
                <c:pt idx="45">
                  <c:v>403.85</c:v>
                </c:pt>
                <c:pt idx="46">
                  <c:v>403.85</c:v>
                </c:pt>
                <c:pt idx="47">
                  <c:v>403.85</c:v>
                </c:pt>
                <c:pt idx="48">
                  <c:v>403.85</c:v>
                </c:pt>
                <c:pt idx="49">
                  <c:v>403.85</c:v>
                </c:pt>
                <c:pt idx="50">
                  <c:v>403.85</c:v>
                </c:pt>
                <c:pt idx="51">
                  <c:v>403.85</c:v>
                </c:pt>
                <c:pt idx="52">
                  <c:v>403.22</c:v>
                </c:pt>
                <c:pt idx="53">
                  <c:v>403.22</c:v>
                </c:pt>
                <c:pt idx="54">
                  <c:v>403.22</c:v>
                </c:pt>
                <c:pt idx="55">
                  <c:v>403.22</c:v>
                </c:pt>
                <c:pt idx="56">
                  <c:v>403.22</c:v>
                </c:pt>
                <c:pt idx="57">
                  <c:v>403.22</c:v>
                </c:pt>
                <c:pt idx="58">
                  <c:v>403.22</c:v>
                </c:pt>
                <c:pt idx="59">
                  <c:v>403.22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E-D632-49C3-8ADE-80625D43C8A0}"/>
            </c:ext>
          </c:extLst>
        </c:ser>
        <c:ser>
          <c:idx val="4"/>
          <c:order val="4"/>
          <c:tx>
            <c:v>Raph's Meter VTR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Sheet1!$L$5:$L$64</c:f>
              <c:numCache>
                <c:formatCode>General</c:formatCode>
                <c:ptCount val="60"/>
                <c:pt idx="0">
                  <c:v>405.9</c:v>
                </c:pt>
                <c:pt idx="1">
                  <c:v>405.1</c:v>
                </c:pt>
                <c:pt idx="2">
                  <c:v>405.11</c:v>
                </c:pt>
                <c:pt idx="3">
                  <c:v>404.94</c:v>
                </c:pt>
                <c:pt idx="4">
                  <c:v>404.94</c:v>
                </c:pt>
                <c:pt idx="5">
                  <c:v>404.94</c:v>
                </c:pt>
                <c:pt idx="6">
                  <c:v>404.94</c:v>
                </c:pt>
                <c:pt idx="7">
                  <c:v>404.77</c:v>
                </c:pt>
                <c:pt idx="8">
                  <c:v>404.77</c:v>
                </c:pt>
                <c:pt idx="9">
                  <c:v>404.94</c:v>
                </c:pt>
                <c:pt idx="10">
                  <c:v>404.94</c:v>
                </c:pt>
                <c:pt idx="11">
                  <c:v>404.94</c:v>
                </c:pt>
                <c:pt idx="12">
                  <c:v>404.94</c:v>
                </c:pt>
                <c:pt idx="13">
                  <c:v>404.94</c:v>
                </c:pt>
                <c:pt idx="14">
                  <c:v>405.11</c:v>
                </c:pt>
                <c:pt idx="15">
                  <c:v>405.11</c:v>
                </c:pt>
                <c:pt idx="16">
                  <c:v>405.11</c:v>
                </c:pt>
                <c:pt idx="17">
                  <c:v>405.11</c:v>
                </c:pt>
                <c:pt idx="18">
                  <c:v>405.46</c:v>
                </c:pt>
                <c:pt idx="19">
                  <c:v>405.29</c:v>
                </c:pt>
                <c:pt idx="20">
                  <c:v>405.29</c:v>
                </c:pt>
                <c:pt idx="21">
                  <c:v>405.29</c:v>
                </c:pt>
                <c:pt idx="22">
                  <c:v>405.29</c:v>
                </c:pt>
                <c:pt idx="23">
                  <c:v>405.46</c:v>
                </c:pt>
                <c:pt idx="24">
                  <c:v>405.46</c:v>
                </c:pt>
                <c:pt idx="25">
                  <c:v>405.46</c:v>
                </c:pt>
                <c:pt idx="26">
                  <c:v>405.46</c:v>
                </c:pt>
                <c:pt idx="27">
                  <c:v>405.29</c:v>
                </c:pt>
                <c:pt idx="28">
                  <c:v>405.11</c:v>
                </c:pt>
                <c:pt idx="29">
                  <c:v>405.11</c:v>
                </c:pt>
                <c:pt idx="30">
                  <c:v>405.11</c:v>
                </c:pt>
                <c:pt idx="31">
                  <c:v>404.94</c:v>
                </c:pt>
                <c:pt idx="32">
                  <c:v>405.11</c:v>
                </c:pt>
                <c:pt idx="33">
                  <c:v>405.29</c:v>
                </c:pt>
                <c:pt idx="34">
                  <c:v>405.29</c:v>
                </c:pt>
                <c:pt idx="35">
                  <c:v>405.46</c:v>
                </c:pt>
                <c:pt idx="36">
                  <c:v>405.29</c:v>
                </c:pt>
                <c:pt idx="37">
                  <c:v>405.29</c:v>
                </c:pt>
                <c:pt idx="38">
                  <c:v>405.29</c:v>
                </c:pt>
                <c:pt idx="39">
                  <c:v>405.11</c:v>
                </c:pt>
                <c:pt idx="40">
                  <c:v>405.11</c:v>
                </c:pt>
                <c:pt idx="41">
                  <c:v>405.11</c:v>
                </c:pt>
                <c:pt idx="42">
                  <c:v>405.11</c:v>
                </c:pt>
                <c:pt idx="43">
                  <c:v>405.11</c:v>
                </c:pt>
                <c:pt idx="44">
                  <c:v>405.11</c:v>
                </c:pt>
                <c:pt idx="45">
                  <c:v>405.11</c:v>
                </c:pt>
                <c:pt idx="46">
                  <c:v>404.6</c:v>
                </c:pt>
                <c:pt idx="47">
                  <c:v>404.77</c:v>
                </c:pt>
                <c:pt idx="48">
                  <c:v>404.77</c:v>
                </c:pt>
                <c:pt idx="49">
                  <c:v>404.77</c:v>
                </c:pt>
                <c:pt idx="50">
                  <c:v>404.6</c:v>
                </c:pt>
                <c:pt idx="51">
                  <c:v>404.42</c:v>
                </c:pt>
                <c:pt idx="52">
                  <c:v>404.42</c:v>
                </c:pt>
                <c:pt idx="53">
                  <c:v>404.08</c:v>
                </c:pt>
                <c:pt idx="54">
                  <c:v>404.6</c:v>
                </c:pt>
                <c:pt idx="55">
                  <c:v>404.77</c:v>
                </c:pt>
                <c:pt idx="56">
                  <c:v>404.77</c:v>
                </c:pt>
                <c:pt idx="57">
                  <c:v>404.77</c:v>
                </c:pt>
                <c:pt idx="58">
                  <c:v>404.77</c:v>
                </c:pt>
                <c:pt idx="59">
                  <c:v>404.77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7-D632-49C3-8ADE-80625D43C8A0}"/>
            </c:ext>
          </c:extLst>
        </c:ser>
        <c:ser>
          <c:idx val="5"/>
          <c:order val="5"/>
          <c:tx>
            <c:v>Actual VTR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2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Sheet1!$M$5:$M$64</c:f>
              <c:numCache>
                <c:formatCode>General</c:formatCode>
                <c:ptCount val="60"/>
                <c:pt idx="0">
                  <c:v>405.18</c:v>
                </c:pt>
                <c:pt idx="1">
                  <c:v>405.18</c:v>
                </c:pt>
                <c:pt idx="2">
                  <c:v>405.18</c:v>
                </c:pt>
                <c:pt idx="3">
                  <c:v>405.18</c:v>
                </c:pt>
                <c:pt idx="4">
                  <c:v>405.18</c:v>
                </c:pt>
                <c:pt idx="5">
                  <c:v>405.18</c:v>
                </c:pt>
                <c:pt idx="6">
                  <c:v>405.18</c:v>
                </c:pt>
                <c:pt idx="7">
                  <c:v>405.18</c:v>
                </c:pt>
                <c:pt idx="8">
                  <c:v>405.18</c:v>
                </c:pt>
                <c:pt idx="9">
                  <c:v>405.18</c:v>
                </c:pt>
                <c:pt idx="10">
                  <c:v>405.18</c:v>
                </c:pt>
                <c:pt idx="11">
                  <c:v>405.18</c:v>
                </c:pt>
                <c:pt idx="12">
                  <c:v>405.18</c:v>
                </c:pt>
                <c:pt idx="13">
                  <c:v>405.18</c:v>
                </c:pt>
                <c:pt idx="14">
                  <c:v>405.18</c:v>
                </c:pt>
                <c:pt idx="15">
                  <c:v>405.18</c:v>
                </c:pt>
                <c:pt idx="16">
                  <c:v>404.79</c:v>
                </c:pt>
                <c:pt idx="17">
                  <c:v>404.79</c:v>
                </c:pt>
                <c:pt idx="18">
                  <c:v>404.79</c:v>
                </c:pt>
                <c:pt idx="19">
                  <c:v>404.79</c:v>
                </c:pt>
                <c:pt idx="20">
                  <c:v>404.79</c:v>
                </c:pt>
                <c:pt idx="21">
                  <c:v>404.79</c:v>
                </c:pt>
                <c:pt idx="22">
                  <c:v>404.79</c:v>
                </c:pt>
                <c:pt idx="23">
                  <c:v>404.79</c:v>
                </c:pt>
                <c:pt idx="24">
                  <c:v>404.79</c:v>
                </c:pt>
                <c:pt idx="25">
                  <c:v>404.79</c:v>
                </c:pt>
                <c:pt idx="26">
                  <c:v>405.15</c:v>
                </c:pt>
                <c:pt idx="27">
                  <c:v>405.15</c:v>
                </c:pt>
                <c:pt idx="28">
                  <c:v>405.15</c:v>
                </c:pt>
                <c:pt idx="29">
                  <c:v>405.15</c:v>
                </c:pt>
                <c:pt idx="30">
                  <c:v>405.15</c:v>
                </c:pt>
                <c:pt idx="31">
                  <c:v>405.15</c:v>
                </c:pt>
                <c:pt idx="32">
                  <c:v>405.15</c:v>
                </c:pt>
                <c:pt idx="33">
                  <c:v>405.15</c:v>
                </c:pt>
                <c:pt idx="34">
                  <c:v>404.96</c:v>
                </c:pt>
                <c:pt idx="35">
                  <c:v>404.96</c:v>
                </c:pt>
                <c:pt idx="36">
                  <c:v>404.96</c:v>
                </c:pt>
                <c:pt idx="37">
                  <c:v>404.96</c:v>
                </c:pt>
                <c:pt idx="38">
                  <c:v>404.96</c:v>
                </c:pt>
                <c:pt idx="39">
                  <c:v>404.96</c:v>
                </c:pt>
                <c:pt idx="40">
                  <c:v>404.96</c:v>
                </c:pt>
                <c:pt idx="41">
                  <c:v>404.96</c:v>
                </c:pt>
                <c:pt idx="42">
                  <c:v>404.96</c:v>
                </c:pt>
                <c:pt idx="43">
                  <c:v>404.96</c:v>
                </c:pt>
                <c:pt idx="44">
                  <c:v>404.96</c:v>
                </c:pt>
                <c:pt idx="45">
                  <c:v>404.76</c:v>
                </c:pt>
                <c:pt idx="46">
                  <c:v>404.76</c:v>
                </c:pt>
                <c:pt idx="47">
                  <c:v>404.76</c:v>
                </c:pt>
                <c:pt idx="48">
                  <c:v>404.76</c:v>
                </c:pt>
                <c:pt idx="49">
                  <c:v>404.76</c:v>
                </c:pt>
                <c:pt idx="50">
                  <c:v>404.76</c:v>
                </c:pt>
                <c:pt idx="51">
                  <c:v>404.76</c:v>
                </c:pt>
                <c:pt idx="52">
                  <c:v>404.76</c:v>
                </c:pt>
                <c:pt idx="53">
                  <c:v>404.76</c:v>
                </c:pt>
                <c:pt idx="54">
                  <c:v>404.76</c:v>
                </c:pt>
                <c:pt idx="55">
                  <c:v>404.76</c:v>
                </c:pt>
                <c:pt idx="56">
                  <c:v>404.76</c:v>
                </c:pt>
                <c:pt idx="57">
                  <c:v>404.76</c:v>
                </c:pt>
                <c:pt idx="58">
                  <c:v>404.76</c:v>
                </c:pt>
                <c:pt idx="59">
                  <c:v>404.76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8-D632-49C3-8ADE-80625D43C8A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410"/>
          <c:min val="39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 Line to Line (Volt)</a:t>
                </a:r>
              </a:p>
            </c:rich>
          </c:tx>
          <c:layout>
            <c:manualLayout>
              <c:xMode val="edge"/>
              <c:yMode val="edge"/>
              <c:x val="1.6810115188997977E-2"/>
              <c:y val="0.29245573928033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4.5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13061950264244407"/>
          <c:y val="0.62946282940356002"/>
          <c:w val="0.45473356129329934"/>
          <c:h val="0.165424477568749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7072043894092"/>
          <c:y val="8.0079645334600616E-2"/>
          <c:w val="0.82750172515229659"/>
          <c:h val="0.74510423922616431"/>
        </c:manualLayout>
      </c:layout>
      <c:scatterChart>
        <c:scatterStyle val="smoothMarker"/>
        <c:varyColors val="0"/>
        <c:ser>
          <c:idx val="0"/>
          <c:order val="0"/>
          <c:tx>
            <c:v>Raph's Meter VRN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Sheet1!$O$5:$O$64</c:f>
              <c:numCache>
                <c:formatCode>General</c:formatCode>
                <c:ptCount val="60"/>
                <c:pt idx="0">
                  <c:v>232.8</c:v>
                </c:pt>
                <c:pt idx="1">
                  <c:v>232.8</c:v>
                </c:pt>
                <c:pt idx="2">
                  <c:v>232.8</c:v>
                </c:pt>
                <c:pt idx="3">
                  <c:v>232.7</c:v>
                </c:pt>
                <c:pt idx="4">
                  <c:v>232.7</c:v>
                </c:pt>
                <c:pt idx="5">
                  <c:v>232.7</c:v>
                </c:pt>
                <c:pt idx="6">
                  <c:v>232.7</c:v>
                </c:pt>
                <c:pt idx="7">
                  <c:v>232.6</c:v>
                </c:pt>
                <c:pt idx="8">
                  <c:v>232.6</c:v>
                </c:pt>
                <c:pt idx="9">
                  <c:v>232.7</c:v>
                </c:pt>
                <c:pt idx="10">
                  <c:v>232.8</c:v>
                </c:pt>
                <c:pt idx="11">
                  <c:v>232.7</c:v>
                </c:pt>
                <c:pt idx="12">
                  <c:v>232.8</c:v>
                </c:pt>
                <c:pt idx="13">
                  <c:v>232.7</c:v>
                </c:pt>
                <c:pt idx="14">
                  <c:v>232.8</c:v>
                </c:pt>
                <c:pt idx="15">
                  <c:v>232.8</c:v>
                </c:pt>
                <c:pt idx="16">
                  <c:v>232.8</c:v>
                </c:pt>
                <c:pt idx="17">
                  <c:v>232.8</c:v>
                </c:pt>
                <c:pt idx="18">
                  <c:v>233</c:v>
                </c:pt>
                <c:pt idx="19">
                  <c:v>232.9</c:v>
                </c:pt>
                <c:pt idx="20">
                  <c:v>232.9</c:v>
                </c:pt>
                <c:pt idx="21">
                  <c:v>232.9</c:v>
                </c:pt>
                <c:pt idx="22">
                  <c:v>232.9</c:v>
                </c:pt>
                <c:pt idx="23">
                  <c:v>233</c:v>
                </c:pt>
                <c:pt idx="24">
                  <c:v>233</c:v>
                </c:pt>
                <c:pt idx="25">
                  <c:v>233</c:v>
                </c:pt>
                <c:pt idx="26">
                  <c:v>232.9</c:v>
                </c:pt>
                <c:pt idx="27">
                  <c:v>232.9</c:v>
                </c:pt>
                <c:pt idx="28">
                  <c:v>232.8</c:v>
                </c:pt>
                <c:pt idx="29">
                  <c:v>232.8</c:v>
                </c:pt>
                <c:pt idx="30">
                  <c:v>232.8</c:v>
                </c:pt>
                <c:pt idx="31">
                  <c:v>232.8</c:v>
                </c:pt>
                <c:pt idx="32">
                  <c:v>232.9</c:v>
                </c:pt>
                <c:pt idx="33">
                  <c:v>232.9</c:v>
                </c:pt>
                <c:pt idx="34">
                  <c:v>233</c:v>
                </c:pt>
                <c:pt idx="35">
                  <c:v>233</c:v>
                </c:pt>
                <c:pt idx="36">
                  <c:v>232.9</c:v>
                </c:pt>
                <c:pt idx="37">
                  <c:v>232.9</c:v>
                </c:pt>
                <c:pt idx="38">
                  <c:v>232.8</c:v>
                </c:pt>
                <c:pt idx="39">
                  <c:v>232.8</c:v>
                </c:pt>
                <c:pt idx="40">
                  <c:v>232.8</c:v>
                </c:pt>
                <c:pt idx="41">
                  <c:v>232.7</c:v>
                </c:pt>
                <c:pt idx="42">
                  <c:v>232.7</c:v>
                </c:pt>
                <c:pt idx="43">
                  <c:v>232.7</c:v>
                </c:pt>
                <c:pt idx="44">
                  <c:v>232.7</c:v>
                </c:pt>
                <c:pt idx="45">
                  <c:v>232.8</c:v>
                </c:pt>
                <c:pt idx="46">
                  <c:v>232</c:v>
                </c:pt>
                <c:pt idx="47">
                  <c:v>232.6</c:v>
                </c:pt>
                <c:pt idx="48">
                  <c:v>232.6</c:v>
                </c:pt>
                <c:pt idx="49">
                  <c:v>232.6</c:v>
                </c:pt>
                <c:pt idx="50">
                  <c:v>232.5</c:v>
                </c:pt>
                <c:pt idx="51">
                  <c:v>232.4</c:v>
                </c:pt>
                <c:pt idx="52">
                  <c:v>232.3</c:v>
                </c:pt>
                <c:pt idx="53">
                  <c:v>232.3</c:v>
                </c:pt>
                <c:pt idx="54">
                  <c:v>232.5</c:v>
                </c:pt>
                <c:pt idx="55">
                  <c:v>232.5</c:v>
                </c:pt>
                <c:pt idx="56">
                  <c:v>232.7</c:v>
                </c:pt>
                <c:pt idx="57">
                  <c:v>232.6</c:v>
                </c:pt>
                <c:pt idx="58">
                  <c:v>232.7</c:v>
                </c:pt>
                <c:pt idx="59">
                  <c:v>232.5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C-4204-BCB2-421A659D9165}"/>
            </c:ext>
          </c:extLst>
        </c:ser>
        <c:ser>
          <c:idx val="1"/>
          <c:order val="1"/>
          <c:tx>
            <c:v>Actual VRN</c:v>
          </c:tx>
          <c:spPr>
            <a:ln w="158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Sheet1!$P$5:$P$64</c:f>
              <c:numCache>
                <c:formatCode>General</c:formatCode>
                <c:ptCount val="60"/>
                <c:pt idx="0">
                  <c:v>232.31</c:v>
                </c:pt>
                <c:pt idx="1">
                  <c:v>232.31</c:v>
                </c:pt>
                <c:pt idx="2">
                  <c:v>232.31</c:v>
                </c:pt>
                <c:pt idx="3">
                  <c:v>232.31</c:v>
                </c:pt>
                <c:pt idx="4">
                  <c:v>232.31</c:v>
                </c:pt>
                <c:pt idx="5">
                  <c:v>232.31</c:v>
                </c:pt>
                <c:pt idx="6">
                  <c:v>232.31</c:v>
                </c:pt>
                <c:pt idx="7">
                  <c:v>232.31</c:v>
                </c:pt>
                <c:pt idx="8">
                  <c:v>232.31</c:v>
                </c:pt>
                <c:pt idx="9">
                  <c:v>232.31</c:v>
                </c:pt>
                <c:pt idx="10">
                  <c:v>232.31</c:v>
                </c:pt>
                <c:pt idx="11">
                  <c:v>232.31</c:v>
                </c:pt>
                <c:pt idx="12">
                  <c:v>232.31</c:v>
                </c:pt>
                <c:pt idx="13">
                  <c:v>232.31</c:v>
                </c:pt>
                <c:pt idx="14">
                  <c:v>232.57</c:v>
                </c:pt>
                <c:pt idx="15">
                  <c:v>232.57</c:v>
                </c:pt>
                <c:pt idx="16">
                  <c:v>232.57</c:v>
                </c:pt>
                <c:pt idx="17">
                  <c:v>232.57</c:v>
                </c:pt>
                <c:pt idx="18">
                  <c:v>232.57</c:v>
                </c:pt>
                <c:pt idx="19">
                  <c:v>232.57</c:v>
                </c:pt>
                <c:pt idx="20">
                  <c:v>232.57</c:v>
                </c:pt>
                <c:pt idx="21">
                  <c:v>232.57</c:v>
                </c:pt>
                <c:pt idx="22">
                  <c:v>232.57</c:v>
                </c:pt>
                <c:pt idx="23">
                  <c:v>232.57</c:v>
                </c:pt>
                <c:pt idx="24">
                  <c:v>232.57</c:v>
                </c:pt>
                <c:pt idx="25">
                  <c:v>232.57</c:v>
                </c:pt>
                <c:pt idx="26">
                  <c:v>232.57</c:v>
                </c:pt>
                <c:pt idx="27">
                  <c:v>232.63</c:v>
                </c:pt>
                <c:pt idx="28">
                  <c:v>232.63</c:v>
                </c:pt>
                <c:pt idx="29">
                  <c:v>232.63</c:v>
                </c:pt>
                <c:pt idx="30">
                  <c:v>232.63</c:v>
                </c:pt>
                <c:pt idx="31">
                  <c:v>232.63</c:v>
                </c:pt>
                <c:pt idx="32">
                  <c:v>232.63</c:v>
                </c:pt>
                <c:pt idx="33">
                  <c:v>232.63</c:v>
                </c:pt>
                <c:pt idx="34">
                  <c:v>232.63</c:v>
                </c:pt>
                <c:pt idx="35">
                  <c:v>232.63</c:v>
                </c:pt>
                <c:pt idx="36">
                  <c:v>232.63</c:v>
                </c:pt>
                <c:pt idx="37">
                  <c:v>232.63</c:v>
                </c:pt>
                <c:pt idx="38">
                  <c:v>232.63</c:v>
                </c:pt>
                <c:pt idx="39">
                  <c:v>232.63</c:v>
                </c:pt>
                <c:pt idx="40">
                  <c:v>232.63</c:v>
                </c:pt>
                <c:pt idx="41">
                  <c:v>232.63</c:v>
                </c:pt>
                <c:pt idx="42">
                  <c:v>232.29</c:v>
                </c:pt>
                <c:pt idx="43">
                  <c:v>232.29</c:v>
                </c:pt>
                <c:pt idx="44">
                  <c:v>232.29</c:v>
                </c:pt>
                <c:pt idx="45">
                  <c:v>232.29</c:v>
                </c:pt>
                <c:pt idx="46">
                  <c:v>232.29</c:v>
                </c:pt>
                <c:pt idx="47">
                  <c:v>232.29</c:v>
                </c:pt>
                <c:pt idx="48">
                  <c:v>232.29</c:v>
                </c:pt>
                <c:pt idx="49">
                  <c:v>232.29</c:v>
                </c:pt>
                <c:pt idx="50">
                  <c:v>232.29</c:v>
                </c:pt>
                <c:pt idx="51">
                  <c:v>232.29</c:v>
                </c:pt>
                <c:pt idx="52">
                  <c:v>232.29</c:v>
                </c:pt>
                <c:pt idx="53">
                  <c:v>232.29</c:v>
                </c:pt>
                <c:pt idx="54">
                  <c:v>232.07</c:v>
                </c:pt>
                <c:pt idx="55">
                  <c:v>232.07</c:v>
                </c:pt>
                <c:pt idx="56">
                  <c:v>232.07</c:v>
                </c:pt>
                <c:pt idx="57">
                  <c:v>232.07</c:v>
                </c:pt>
                <c:pt idx="58">
                  <c:v>232.07</c:v>
                </c:pt>
                <c:pt idx="59">
                  <c:v>232.07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BC-4204-BCB2-421A659D9165}"/>
            </c:ext>
          </c:extLst>
        </c:ser>
        <c:ser>
          <c:idx val="2"/>
          <c:order val="2"/>
          <c:tx>
            <c:v>Raph's Meter VSN</c:v>
          </c:tx>
          <c:spPr>
            <a:ln w="19050" cap="rnd">
              <a:solidFill>
                <a:srgbClr val="FFC000">
                  <a:alpha val="95000"/>
                </a:srgb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Sheet1!$R$5:$R$64</c:f>
              <c:numCache>
                <c:formatCode>General</c:formatCode>
                <c:ptCount val="60"/>
                <c:pt idx="0">
                  <c:v>233.5</c:v>
                </c:pt>
                <c:pt idx="1">
                  <c:v>233.5</c:v>
                </c:pt>
                <c:pt idx="2">
                  <c:v>233.5</c:v>
                </c:pt>
                <c:pt idx="3">
                  <c:v>233.5</c:v>
                </c:pt>
                <c:pt idx="4">
                  <c:v>233.4</c:v>
                </c:pt>
                <c:pt idx="5">
                  <c:v>233.4</c:v>
                </c:pt>
                <c:pt idx="6">
                  <c:v>233.4</c:v>
                </c:pt>
                <c:pt idx="7">
                  <c:v>233.4</c:v>
                </c:pt>
                <c:pt idx="8">
                  <c:v>233.3</c:v>
                </c:pt>
                <c:pt idx="9">
                  <c:v>233.4</c:v>
                </c:pt>
                <c:pt idx="10">
                  <c:v>233.5</c:v>
                </c:pt>
                <c:pt idx="11">
                  <c:v>233.5</c:v>
                </c:pt>
                <c:pt idx="12">
                  <c:v>233.5</c:v>
                </c:pt>
                <c:pt idx="13">
                  <c:v>233.5</c:v>
                </c:pt>
                <c:pt idx="14">
                  <c:v>233.5</c:v>
                </c:pt>
                <c:pt idx="15">
                  <c:v>233.5</c:v>
                </c:pt>
                <c:pt idx="16">
                  <c:v>233.5</c:v>
                </c:pt>
                <c:pt idx="17">
                  <c:v>233.6</c:v>
                </c:pt>
                <c:pt idx="18">
                  <c:v>233.7</c:v>
                </c:pt>
                <c:pt idx="19">
                  <c:v>233.6</c:v>
                </c:pt>
                <c:pt idx="20">
                  <c:v>233.6</c:v>
                </c:pt>
                <c:pt idx="21">
                  <c:v>233.6</c:v>
                </c:pt>
                <c:pt idx="22">
                  <c:v>233.6</c:v>
                </c:pt>
                <c:pt idx="23">
                  <c:v>233.7</c:v>
                </c:pt>
                <c:pt idx="24">
                  <c:v>233.7</c:v>
                </c:pt>
                <c:pt idx="25">
                  <c:v>233.7</c:v>
                </c:pt>
                <c:pt idx="26">
                  <c:v>233.7</c:v>
                </c:pt>
                <c:pt idx="27">
                  <c:v>233.6</c:v>
                </c:pt>
                <c:pt idx="28">
                  <c:v>233.5</c:v>
                </c:pt>
                <c:pt idx="29">
                  <c:v>233.6</c:v>
                </c:pt>
                <c:pt idx="30">
                  <c:v>233.5</c:v>
                </c:pt>
                <c:pt idx="31">
                  <c:v>233.6</c:v>
                </c:pt>
                <c:pt idx="32">
                  <c:v>233.6</c:v>
                </c:pt>
                <c:pt idx="33">
                  <c:v>233.7</c:v>
                </c:pt>
                <c:pt idx="34">
                  <c:v>233.7</c:v>
                </c:pt>
                <c:pt idx="35">
                  <c:v>233.7</c:v>
                </c:pt>
                <c:pt idx="36">
                  <c:v>233.7</c:v>
                </c:pt>
                <c:pt idx="37">
                  <c:v>233.6</c:v>
                </c:pt>
                <c:pt idx="38">
                  <c:v>233.6</c:v>
                </c:pt>
                <c:pt idx="39">
                  <c:v>233.6</c:v>
                </c:pt>
                <c:pt idx="40">
                  <c:v>233.5</c:v>
                </c:pt>
                <c:pt idx="41">
                  <c:v>233.5</c:v>
                </c:pt>
                <c:pt idx="42">
                  <c:v>233.5</c:v>
                </c:pt>
                <c:pt idx="43">
                  <c:v>233.5</c:v>
                </c:pt>
                <c:pt idx="44">
                  <c:v>233.5</c:v>
                </c:pt>
                <c:pt idx="45">
                  <c:v>233.5</c:v>
                </c:pt>
                <c:pt idx="46">
                  <c:v>233.3</c:v>
                </c:pt>
                <c:pt idx="47">
                  <c:v>233.4</c:v>
                </c:pt>
                <c:pt idx="48">
                  <c:v>233.4</c:v>
                </c:pt>
                <c:pt idx="49">
                  <c:v>233.4</c:v>
                </c:pt>
                <c:pt idx="50">
                  <c:v>233.3</c:v>
                </c:pt>
                <c:pt idx="51">
                  <c:v>233.2</c:v>
                </c:pt>
                <c:pt idx="52">
                  <c:v>233.1</c:v>
                </c:pt>
                <c:pt idx="53">
                  <c:v>233.1</c:v>
                </c:pt>
                <c:pt idx="54">
                  <c:v>233.2</c:v>
                </c:pt>
                <c:pt idx="55">
                  <c:v>233.3</c:v>
                </c:pt>
                <c:pt idx="56">
                  <c:v>233.4</c:v>
                </c:pt>
                <c:pt idx="57">
                  <c:v>233.3</c:v>
                </c:pt>
                <c:pt idx="58">
                  <c:v>233.5</c:v>
                </c:pt>
                <c:pt idx="59">
                  <c:v>233.3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BC-4204-BCB2-421A659D9165}"/>
            </c:ext>
          </c:extLst>
        </c:ser>
        <c:ser>
          <c:idx val="3"/>
          <c:order val="3"/>
          <c:tx>
            <c:v>Actual VSN</c:v>
          </c:tx>
          <c:spPr>
            <a:ln w="15875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Sheet1!$S$5:$S$64</c:f>
              <c:numCache>
                <c:formatCode>General</c:formatCode>
                <c:ptCount val="60"/>
                <c:pt idx="0">
                  <c:v>232.86</c:v>
                </c:pt>
                <c:pt idx="1">
                  <c:v>232.86</c:v>
                </c:pt>
                <c:pt idx="2">
                  <c:v>232.86</c:v>
                </c:pt>
                <c:pt idx="3">
                  <c:v>232.86</c:v>
                </c:pt>
                <c:pt idx="4">
                  <c:v>232.86</c:v>
                </c:pt>
                <c:pt idx="5">
                  <c:v>232.86</c:v>
                </c:pt>
                <c:pt idx="6">
                  <c:v>232.86</c:v>
                </c:pt>
                <c:pt idx="7">
                  <c:v>232.86</c:v>
                </c:pt>
                <c:pt idx="8">
                  <c:v>232.86</c:v>
                </c:pt>
                <c:pt idx="9">
                  <c:v>232.86</c:v>
                </c:pt>
                <c:pt idx="10">
                  <c:v>232.86</c:v>
                </c:pt>
                <c:pt idx="11">
                  <c:v>232.86</c:v>
                </c:pt>
                <c:pt idx="12">
                  <c:v>232.86</c:v>
                </c:pt>
                <c:pt idx="13">
                  <c:v>232.86</c:v>
                </c:pt>
                <c:pt idx="14">
                  <c:v>232.86</c:v>
                </c:pt>
                <c:pt idx="15">
                  <c:v>232.86</c:v>
                </c:pt>
                <c:pt idx="16">
                  <c:v>232.94</c:v>
                </c:pt>
                <c:pt idx="17">
                  <c:v>232.94</c:v>
                </c:pt>
                <c:pt idx="18">
                  <c:v>232.94</c:v>
                </c:pt>
                <c:pt idx="19">
                  <c:v>232.94</c:v>
                </c:pt>
                <c:pt idx="20">
                  <c:v>232.94</c:v>
                </c:pt>
                <c:pt idx="21">
                  <c:v>232.94</c:v>
                </c:pt>
                <c:pt idx="22">
                  <c:v>232.94</c:v>
                </c:pt>
                <c:pt idx="23">
                  <c:v>232.94</c:v>
                </c:pt>
                <c:pt idx="24">
                  <c:v>232.94</c:v>
                </c:pt>
                <c:pt idx="25">
                  <c:v>232.94</c:v>
                </c:pt>
                <c:pt idx="26">
                  <c:v>232.94</c:v>
                </c:pt>
                <c:pt idx="27">
                  <c:v>232.94</c:v>
                </c:pt>
                <c:pt idx="28">
                  <c:v>232.94</c:v>
                </c:pt>
                <c:pt idx="29">
                  <c:v>232.94</c:v>
                </c:pt>
                <c:pt idx="30">
                  <c:v>232.94</c:v>
                </c:pt>
                <c:pt idx="31">
                  <c:v>232.94</c:v>
                </c:pt>
                <c:pt idx="32">
                  <c:v>233.07</c:v>
                </c:pt>
                <c:pt idx="33">
                  <c:v>233.07</c:v>
                </c:pt>
                <c:pt idx="34">
                  <c:v>233.07</c:v>
                </c:pt>
                <c:pt idx="35">
                  <c:v>233.07</c:v>
                </c:pt>
                <c:pt idx="36">
                  <c:v>233.07</c:v>
                </c:pt>
                <c:pt idx="37">
                  <c:v>233.07</c:v>
                </c:pt>
                <c:pt idx="38">
                  <c:v>233.07</c:v>
                </c:pt>
                <c:pt idx="39">
                  <c:v>233.07</c:v>
                </c:pt>
                <c:pt idx="40">
                  <c:v>233.07</c:v>
                </c:pt>
                <c:pt idx="41">
                  <c:v>233.07</c:v>
                </c:pt>
                <c:pt idx="42">
                  <c:v>233.07</c:v>
                </c:pt>
                <c:pt idx="43">
                  <c:v>233.07</c:v>
                </c:pt>
                <c:pt idx="44">
                  <c:v>232.97</c:v>
                </c:pt>
                <c:pt idx="45">
                  <c:v>232.97</c:v>
                </c:pt>
                <c:pt idx="46">
                  <c:v>232.97</c:v>
                </c:pt>
                <c:pt idx="47">
                  <c:v>232.97</c:v>
                </c:pt>
                <c:pt idx="48">
                  <c:v>232.97</c:v>
                </c:pt>
                <c:pt idx="49">
                  <c:v>232.97</c:v>
                </c:pt>
                <c:pt idx="50">
                  <c:v>232.97</c:v>
                </c:pt>
                <c:pt idx="51">
                  <c:v>232.63</c:v>
                </c:pt>
                <c:pt idx="52">
                  <c:v>232.63</c:v>
                </c:pt>
                <c:pt idx="53">
                  <c:v>232.63</c:v>
                </c:pt>
                <c:pt idx="54">
                  <c:v>232.63</c:v>
                </c:pt>
                <c:pt idx="55">
                  <c:v>232.63</c:v>
                </c:pt>
                <c:pt idx="56">
                  <c:v>232.63</c:v>
                </c:pt>
                <c:pt idx="57">
                  <c:v>232.63</c:v>
                </c:pt>
                <c:pt idx="58">
                  <c:v>232.63</c:v>
                </c:pt>
                <c:pt idx="59">
                  <c:v>232.63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BC-4204-BCB2-421A659D9165}"/>
            </c:ext>
          </c:extLst>
        </c:ser>
        <c:ser>
          <c:idx val="4"/>
          <c:order val="4"/>
          <c:tx>
            <c:v>Raph's Meter VTN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Sheet1!$U$5:$U$64</c:f>
              <c:numCache>
                <c:formatCode>General</c:formatCode>
                <c:ptCount val="60"/>
                <c:pt idx="0">
                  <c:v>233.7</c:v>
                </c:pt>
                <c:pt idx="1">
                  <c:v>233.8</c:v>
                </c:pt>
                <c:pt idx="2">
                  <c:v>233.9</c:v>
                </c:pt>
                <c:pt idx="3">
                  <c:v>233.8</c:v>
                </c:pt>
                <c:pt idx="4">
                  <c:v>233.8</c:v>
                </c:pt>
                <c:pt idx="5">
                  <c:v>233.8</c:v>
                </c:pt>
                <c:pt idx="6">
                  <c:v>233.8</c:v>
                </c:pt>
                <c:pt idx="7">
                  <c:v>233.7</c:v>
                </c:pt>
                <c:pt idx="8">
                  <c:v>233.7</c:v>
                </c:pt>
                <c:pt idx="9">
                  <c:v>233.8</c:v>
                </c:pt>
                <c:pt idx="10">
                  <c:v>233.8</c:v>
                </c:pt>
                <c:pt idx="11">
                  <c:v>233.8</c:v>
                </c:pt>
                <c:pt idx="12">
                  <c:v>233.8</c:v>
                </c:pt>
                <c:pt idx="13">
                  <c:v>233.8</c:v>
                </c:pt>
                <c:pt idx="14">
                  <c:v>233.9</c:v>
                </c:pt>
                <c:pt idx="15">
                  <c:v>233.9</c:v>
                </c:pt>
                <c:pt idx="16">
                  <c:v>233.9</c:v>
                </c:pt>
                <c:pt idx="17">
                  <c:v>233.9</c:v>
                </c:pt>
                <c:pt idx="18">
                  <c:v>234.1</c:v>
                </c:pt>
                <c:pt idx="19">
                  <c:v>234</c:v>
                </c:pt>
                <c:pt idx="20">
                  <c:v>234</c:v>
                </c:pt>
                <c:pt idx="21">
                  <c:v>234</c:v>
                </c:pt>
                <c:pt idx="22">
                  <c:v>234</c:v>
                </c:pt>
                <c:pt idx="23">
                  <c:v>234.1</c:v>
                </c:pt>
                <c:pt idx="24">
                  <c:v>234.1</c:v>
                </c:pt>
                <c:pt idx="25">
                  <c:v>234.1</c:v>
                </c:pt>
                <c:pt idx="26">
                  <c:v>234.1</c:v>
                </c:pt>
                <c:pt idx="27">
                  <c:v>234</c:v>
                </c:pt>
                <c:pt idx="28">
                  <c:v>233.9</c:v>
                </c:pt>
                <c:pt idx="29">
                  <c:v>233.9</c:v>
                </c:pt>
                <c:pt idx="30">
                  <c:v>233.9</c:v>
                </c:pt>
                <c:pt idx="31">
                  <c:v>233.8</c:v>
                </c:pt>
                <c:pt idx="32">
                  <c:v>233.9</c:v>
                </c:pt>
                <c:pt idx="33">
                  <c:v>234</c:v>
                </c:pt>
                <c:pt idx="34">
                  <c:v>234</c:v>
                </c:pt>
                <c:pt idx="35">
                  <c:v>234.1</c:v>
                </c:pt>
                <c:pt idx="36">
                  <c:v>234</c:v>
                </c:pt>
                <c:pt idx="37">
                  <c:v>234</c:v>
                </c:pt>
                <c:pt idx="38">
                  <c:v>234</c:v>
                </c:pt>
                <c:pt idx="39">
                  <c:v>233.9</c:v>
                </c:pt>
                <c:pt idx="40">
                  <c:v>233.9</c:v>
                </c:pt>
                <c:pt idx="41">
                  <c:v>233.9</c:v>
                </c:pt>
                <c:pt idx="42">
                  <c:v>233.9</c:v>
                </c:pt>
                <c:pt idx="43">
                  <c:v>233.9</c:v>
                </c:pt>
                <c:pt idx="44">
                  <c:v>233.9</c:v>
                </c:pt>
                <c:pt idx="45">
                  <c:v>233.9</c:v>
                </c:pt>
                <c:pt idx="46">
                  <c:v>233.6</c:v>
                </c:pt>
                <c:pt idx="47">
                  <c:v>233.7</c:v>
                </c:pt>
                <c:pt idx="48">
                  <c:v>233.7</c:v>
                </c:pt>
                <c:pt idx="49">
                  <c:v>233.7</c:v>
                </c:pt>
                <c:pt idx="50">
                  <c:v>233.6</c:v>
                </c:pt>
                <c:pt idx="51">
                  <c:v>233.5</c:v>
                </c:pt>
                <c:pt idx="52">
                  <c:v>233.5</c:v>
                </c:pt>
                <c:pt idx="53">
                  <c:v>233.3</c:v>
                </c:pt>
                <c:pt idx="54">
                  <c:v>233.6</c:v>
                </c:pt>
                <c:pt idx="55">
                  <c:v>233.7</c:v>
                </c:pt>
                <c:pt idx="56">
                  <c:v>233.7</c:v>
                </c:pt>
                <c:pt idx="57">
                  <c:v>233.7</c:v>
                </c:pt>
                <c:pt idx="58">
                  <c:v>233.7</c:v>
                </c:pt>
                <c:pt idx="59">
                  <c:v>233.7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BC-4204-BCB2-421A659D9165}"/>
            </c:ext>
          </c:extLst>
        </c:ser>
        <c:ser>
          <c:idx val="5"/>
          <c:order val="5"/>
          <c:tx>
            <c:v>Actual VTN</c:v>
          </c:tx>
          <c:spPr>
            <a:ln w="158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diamond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Sheet1!$V$5:$V$64</c:f>
              <c:numCache>
                <c:formatCode>General</c:formatCode>
                <c:ptCount val="60"/>
                <c:pt idx="0">
                  <c:v>232.8</c:v>
                </c:pt>
                <c:pt idx="1">
                  <c:v>232.8</c:v>
                </c:pt>
                <c:pt idx="2">
                  <c:v>232.8</c:v>
                </c:pt>
                <c:pt idx="3">
                  <c:v>232.8</c:v>
                </c:pt>
                <c:pt idx="4">
                  <c:v>232.8</c:v>
                </c:pt>
                <c:pt idx="5">
                  <c:v>232.8</c:v>
                </c:pt>
                <c:pt idx="6">
                  <c:v>232.8</c:v>
                </c:pt>
                <c:pt idx="7">
                  <c:v>232.8</c:v>
                </c:pt>
                <c:pt idx="8">
                  <c:v>232.8</c:v>
                </c:pt>
                <c:pt idx="9">
                  <c:v>232.8</c:v>
                </c:pt>
                <c:pt idx="10">
                  <c:v>232.8</c:v>
                </c:pt>
                <c:pt idx="11">
                  <c:v>232.8</c:v>
                </c:pt>
                <c:pt idx="12">
                  <c:v>232.8</c:v>
                </c:pt>
                <c:pt idx="13">
                  <c:v>232.8</c:v>
                </c:pt>
                <c:pt idx="14">
                  <c:v>232.8</c:v>
                </c:pt>
                <c:pt idx="15">
                  <c:v>232.8</c:v>
                </c:pt>
                <c:pt idx="16">
                  <c:v>232.76</c:v>
                </c:pt>
                <c:pt idx="17">
                  <c:v>232.76</c:v>
                </c:pt>
                <c:pt idx="18">
                  <c:v>232.76</c:v>
                </c:pt>
                <c:pt idx="19">
                  <c:v>232.76</c:v>
                </c:pt>
                <c:pt idx="20">
                  <c:v>232.76</c:v>
                </c:pt>
                <c:pt idx="21">
                  <c:v>232.76</c:v>
                </c:pt>
                <c:pt idx="22">
                  <c:v>232.76</c:v>
                </c:pt>
                <c:pt idx="23">
                  <c:v>232.76</c:v>
                </c:pt>
                <c:pt idx="24">
                  <c:v>232.76</c:v>
                </c:pt>
                <c:pt idx="25">
                  <c:v>232.76</c:v>
                </c:pt>
                <c:pt idx="26">
                  <c:v>232.76</c:v>
                </c:pt>
                <c:pt idx="27">
                  <c:v>232.76</c:v>
                </c:pt>
                <c:pt idx="28">
                  <c:v>232.76</c:v>
                </c:pt>
                <c:pt idx="29">
                  <c:v>232.78</c:v>
                </c:pt>
                <c:pt idx="30">
                  <c:v>232.78</c:v>
                </c:pt>
                <c:pt idx="31">
                  <c:v>232.78</c:v>
                </c:pt>
                <c:pt idx="32">
                  <c:v>232.78</c:v>
                </c:pt>
                <c:pt idx="33">
                  <c:v>232.78</c:v>
                </c:pt>
                <c:pt idx="34">
                  <c:v>232.78</c:v>
                </c:pt>
                <c:pt idx="35">
                  <c:v>232.78</c:v>
                </c:pt>
                <c:pt idx="36">
                  <c:v>232.78</c:v>
                </c:pt>
                <c:pt idx="37">
                  <c:v>232.75</c:v>
                </c:pt>
                <c:pt idx="38">
                  <c:v>232.75</c:v>
                </c:pt>
                <c:pt idx="39">
                  <c:v>232.75</c:v>
                </c:pt>
                <c:pt idx="40">
                  <c:v>232.75</c:v>
                </c:pt>
                <c:pt idx="41">
                  <c:v>232.75</c:v>
                </c:pt>
                <c:pt idx="42">
                  <c:v>232.75</c:v>
                </c:pt>
                <c:pt idx="43">
                  <c:v>232.75</c:v>
                </c:pt>
                <c:pt idx="44">
                  <c:v>232.75</c:v>
                </c:pt>
                <c:pt idx="45">
                  <c:v>232.75</c:v>
                </c:pt>
                <c:pt idx="46">
                  <c:v>232.75</c:v>
                </c:pt>
                <c:pt idx="47">
                  <c:v>232.75</c:v>
                </c:pt>
                <c:pt idx="48">
                  <c:v>232.72</c:v>
                </c:pt>
                <c:pt idx="49">
                  <c:v>232.81</c:v>
                </c:pt>
                <c:pt idx="50">
                  <c:v>232.81</c:v>
                </c:pt>
                <c:pt idx="51">
                  <c:v>232.81</c:v>
                </c:pt>
                <c:pt idx="52">
                  <c:v>232.81</c:v>
                </c:pt>
                <c:pt idx="53">
                  <c:v>232.81</c:v>
                </c:pt>
                <c:pt idx="54">
                  <c:v>232.81</c:v>
                </c:pt>
                <c:pt idx="55">
                  <c:v>232.81</c:v>
                </c:pt>
                <c:pt idx="56">
                  <c:v>232.81</c:v>
                </c:pt>
                <c:pt idx="57">
                  <c:v>232.81</c:v>
                </c:pt>
                <c:pt idx="58">
                  <c:v>232.81</c:v>
                </c:pt>
                <c:pt idx="59">
                  <c:v>232.81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ABC-4204-BCB2-421A659D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03856"/>
        <c:axId val="1445198096"/>
      </c:scatterChart>
      <c:valAx>
        <c:axId val="1445203856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8096"/>
        <c:crosses val="autoZero"/>
        <c:crossBetween val="midCat"/>
        <c:majorUnit val="10"/>
      </c:valAx>
      <c:valAx>
        <c:axId val="1445198096"/>
        <c:scaling>
          <c:orientation val="minMax"/>
          <c:max val="239"/>
          <c:min val="2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 Line to Netral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03856"/>
        <c:crosses val="autoZero"/>
        <c:crossBetween val="midCat"/>
        <c:majorUnit val="1.8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6095242347397731"/>
          <c:y val="0.11165319869390582"/>
          <c:w val="0.51817072845036583"/>
          <c:h val="0.123064181262131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8990725571"/>
          <c:y val="8.9182553865603267E-2"/>
          <c:w val="0.86287504741784027"/>
          <c:h val="0.7292062773620096"/>
        </c:manualLayout>
      </c:layout>
      <c:scatterChart>
        <c:scatterStyle val="smoothMarker"/>
        <c:varyColors val="0"/>
        <c:ser>
          <c:idx val="0"/>
          <c:order val="0"/>
          <c:tx>
            <c:v>Raph's Meter IR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plus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Sheet1!$X$5:$X$64</c:f>
              <c:numCache>
                <c:formatCode>#,##0.00</c:formatCode>
                <c:ptCount val="60"/>
                <c:pt idx="0">
                  <c:v>2.6259999999999999</c:v>
                </c:pt>
                <c:pt idx="1">
                  <c:v>2.6259999999999999</c:v>
                </c:pt>
                <c:pt idx="2">
                  <c:v>2.6019999999999999</c:v>
                </c:pt>
                <c:pt idx="3">
                  <c:v>2.5920000000000001</c:v>
                </c:pt>
                <c:pt idx="4">
                  <c:v>2.59</c:v>
                </c:pt>
                <c:pt idx="5">
                  <c:v>2.5870000000000002</c:v>
                </c:pt>
                <c:pt idx="6">
                  <c:v>2.5870000000000002</c:v>
                </c:pt>
                <c:pt idx="7">
                  <c:v>2.5830000000000002</c:v>
                </c:pt>
                <c:pt idx="8">
                  <c:v>2.585</c:v>
                </c:pt>
                <c:pt idx="9">
                  <c:v>2.5840000000000001</c:v>
                </c:pt>
                <c:pt idx="10">
                  <c:v>2.589</c:v>
                </c:pt>
                <c:pt idx="11">
                  <c:v>2.5880000000000001</c:v>
                </c:pt>
                <c:pt idx="12">
                  <c:v>2.585</c:v>
                </c:pt>
                <c:pt idx="13">
                  <c:v>2.5870000000000002</c:v>
                </c:pt>
                <c:pt idx="14">
                  <c:v>2.5870000000000002</c:v>
                </c:pt>
                <c:pt idx="15">
                  <c:v>2.59</c:v>
                </c:pt>
                <c:pt idx="16">
                  <c:v>2.5859999999999999</c:v>
                </c:pt>
                <c:pt idx="17">
                  <c:v>2.589</c:v>
                </c:pt>
                <c:pt idx="18">
                  <c:v>2.593</c:v>
                </c:pt>
                <c:pt idx="19">
                  <c:v>2.59</c:v>
                </c:pt>
                <c:pt idx="20">
                  <c:v>2.593</c:v>
                </c:pt>
                <c:pt idx="21">
                  <c:v>2.593</c:v>
                </c:pt>
                <c:pt idx="22">
                  <c:v>2.5960000000000001</c:v>
                </c:pt>
                <c:pt idx="23">
                  <c:v>2.5979999999999999</c:v>
                </c:pt>
                <c:pt idx="24">
                  <c:v>2.597</c:v>
                </c:pt>
                <c:pt idx="25">
                  <c:v>2.601</c:v>
                </c:pt>
                <c:pt idx="26">
                  <c:v>2.5990000000000002</c:v>
                </c:pt>
                <c:pt idx="27">
                  <c:v>2.6</c:v>
                </c:pt>
                <c:pt idx="28">
                  <c:v>2.5979999999999999</c:v>
                </c:pt>
                <c:pt idx="29">
                  <c:v>2.5979999999999999</c:v>
                </c:pt>
                <c:pt idx="30">
                  <c:v>2.601</c:v>
                </c:pt>
                <c:pt idx="31">
                  <c:v>2.5990000000000002</c:v>
                </c:pt>
                <c:pt idx="32">
                  <c:v>2.601</c:v>
                </c:pt>
                <c:pt idx="33">
                  <c:v>2.6059999999999999</c:v>
                </c:pt>
                <c:pt idx="34">
                  <c:v>2.605</c:v>
                </c:pt>
                <c:pt idx="35">
                  <c:v>2.6030000000000002</c:v>
                </c:pt>
                <c:pt idx="36">
                  <c:v>2.605</c:v>
                </c:pt>
                <c:pt idx="37">
                  <c:v>2.6019999999999999</c:v>
                </c:pt>
                <c:pt idx="38">
                  <c:v>2.6059999999999999</c:v>
                </c:pt>
                <c:pt idx="39">
                  <c:v>2.6070000000000002</c:v>
                </c:pt>
                <c:pt idx="40">
                  <c:v>2.6080000000000001</c:v>
                </c:pt>
                <c:pt idx="41">
                  <c:v>2.6120000000000001</c:v>
                </c:pt>
                <c:pt idx="42">
                  <c:v>2.621</c:v>
                </c:pt>
                <c:pt idx="43">
                  <c:v>2.613</c:v>
                </c:pt>
                <c:pt idx="44">
                  <c:v>2.6080000000000001</c:v>
                </c:pt>
                <c:pt idx="45">
                  <c:v>2.609</c:v>
                </c:pt>
                <c:pt idx="46">
                  <c:v>2.6030000000000002</c:v>
                </c:pt>
                <c:pt idx="47">
                  <c:v>2.605</c:v>
                </c:pt>
                <c:pt idx="48">
                  <c:v>2.6040000000000001</c:v>
                </c:pt>
                <c:pt idx="49">
                  <c:v>2.601</c:v>
                </c:pt>
                <c:pt idx="50">
                  <c:v>2.6</c:v>
                </c:pt>
                <c:pt idx="51">
                  <c:v>2.5990000000000002</c:v>
                </c:pt>
                <c:pt idx="52">
                  <c:v>2.5979999999999999</c:v>
                </c:pt>
                <c:pt idx="53">
                  <c:v>2.597</c:v>
                </c:pt>
                <c:pt idx="54">
                  <c:v>2.601</c:v>
                </c:pt>
                <c:pt idx="55">
                  <c:v>2.605</c:v>
                </c:pt>
                <c:pt idx="56">
                  <c:v>2.6070000000000002</c:v>
                </c:pt>
                <c:pt idx="57">
                  <c:v>2.6040000000000001</c:v>
                </c:pt>
                <c:pt idx="58">
                  <c:v>2.6110000000000002</c:v>
                </c:pt>
                <c:pt idx="59">
                  <c:v>2.609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97-44B7-80A0-5D40D50E748E}"/>
            </c:ext>
          </c:extLst>
        </c:ser>
        <c:ser>
          <c:idx val="1"/>
          <c:order val="1"/>
          <c:tx>
            <c:v>Actual IR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Sheet1!$Y$5:$Y$64</c:f>
              <c:numCache>
                <c:formatCode>#,##0.00</c:formatCode>
                <c:ptCount val="60"/>
                <c:pt idx="0">
                  <c:v>2.7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  <c:pt idx="8">
                  <c:v>2.7</c:v>
                </c:pt>
                <c:pt idx="9">
                  <c:v>2.7</c:v>
                </c:pt>
                <c:pt idx="10">
                  <c:v>2.6</c:v>
                </c:pt>
                <c:pt idx="11">
                  <c:v>2.6</c:v>
                </c:pt>
                <c:pt idx="12">
                  <c:v>2.6</c:v>
                </c:pt>
                <c:pt idx="13">
                  <c:v>2.6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</c:v>
                </c:pt>
                <c:pt idx="23">
                  <c:v>2.6</c:v>
                </c:pt>
                <c:pt idx="24">
                  <c:v>2.6</c:v>
                </c:pt>
                <c:pt idx="25">
                  <c:v>2.6</c:v>
                </c:pt>
                <c:pt idx="26">
                  <c:v>2.6</c:v>
                </c:pt>
                <c:pt idx="27">
                  <c:v>2.6</c:v>
                </c:pt>
                <c:pt idx="28">
                  <c:v>2.6</c:v>
                </c:pt>
                <c:pt idx="29">
                  <c:v>2.6</c:v>
                </c:pt>
                <c:pt idx="30">
                  <c:v>2.6</c:v>
                </c:pt>
                <c:pt idx="31">
                  <c:v>2.6</c:v>
                </c:pt>
                <c:pt idx="32">
                  <c:v>2.6</c:v>
                </c:pt>
                <c:pt idx="33">
                  <c:v>2.6</c:v>
                </c:pt>
                <c:pt idx="34">
                  <c:v>2.6</c:v>
                </c:pt>
                <c:pt idx="35">
                  <c:v>2.6</c:v>
                </c:pt>
                <c:pt idx="36">
                  <c:v>2.6</c:v>
                </c:pt>
                <c:pt idx="37">
                  <c:v>2.6</c:v>
                </c:pt>
                <c:pt idx="38">
                  <c:v>2.6</c:v>
                </c:pt>
                <c:pt idx="39">
                  <c:v>2.6</c:v>
                </c:pt>
                <c:pt idx="40">
                  <c:v>2.6</c:v>
                </c:pt>
                <c:pt idx="41">
                  <c:v>2.6</c:v>
                </c:pt>
                <c:pt idx="42">
                  <c:v>2.6</c:v>
                </c:pt>
                <c:pt idx="43">
                  <c:v>2.6</c:v>
                </c:pt>
                <c:pt idx="44">
                  <c:v>2.6</c:v>
                </c:pt>
                <c:pt idx="45">
                  <c:v>2.6</c:v>
                </c:pt>
                <c:pt idx="46">
                  <c:v>2.6</c:v>
                </c:pt>
                <c:pt idx="47">
                  <c:v>2.6</c:v>
                </c:pt>
                <c:pt idx="48">
                  <c:v>2.6</c:v>
                </c:pt>
                <c:pt idx="49">
                  <c:v>2.6</c:v>
                </c:pt>
                <c:pt idx="50">
                  <c:v>2.6</c:v>
                </c:pt>
                <c:pt idx="51">
                  <c:v>2.6</c:v>
                </c:pt>
                <c:pt idx="52">
                  <c:v>2.6</c:v>
                </c:pt>
                <c:pt idx="53">
                  <c:v>2.6</c:v>
                </c:pt>
                <c:pt idx="54">
                  <c:v>2.6</c:v>
                </c:pt>
                <c:pt idx="55">
                  <c:v>2.6</c:v>
                </c:pt>
                <c:pt idx="56">
                  <c:v>2.6</c:v>
                </c:pt>
                <c:pt idx="57">
                  <c:v>2.6</c:v>
                </c:pt>
                <c:pt idx="58">
                  <c:v>2.6</c:v>
                </c:pt>
                <c:pt idx="59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97-44B7-80A0-5D40D50E748E}"/>
            </c:ext>
          </c:extLst>
        </c:ser>
        <c:ser>
          <c:idx val="2"/>
          <c:order val="2"/>
          <c:tx>
            <c:v>Raph's Meter IS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Sheet1!$AA$5:$AA$64</c:f>
              <c:numCache>
                <c:formatCode>#,##0.00</c:formatCode>
                <c:ptCount val="60"/>
                <c:pt idx="0">
                  <c:v>2.6960000000000002</c:v>
                </c:pt>
                <c:pt idx="1">
                  <c:v>2.6960000000000002</c:v>
                </c:pt>
                <c:pt idx="2">
                  <c:v>2.669</c:v>
                </c:pt>
                <c:pt idx="3">
                  <c:v>2.6579999999999999</c:v>
                </c:pt>
                <c:pt idx="4">
                  <c:v>2.6549999999999998</c:v>
                </c:pt>
                <c:pt idx="5">
                  <c:v>2.6539999999999999</c:v>
                </c:pt>
                <c:pt idx="6">
                  <c:v>2.6520000000000001</c:v>
                </c:pt>
                <c:pt idx="7">
                  <c:v>2.649</c:v>
                </c:pt>
                <c:pt idx="8">
                  <c:v>2.6520000000000001</c:v>
                </c:pt>
                <c:pt idx="9">
                  <c:v>2.65</c:v>
                </c:pt>
                <c:pt idx="10">
                  <c:v>2.6539999999999999</c:v>
                </c:pt>
                <c:pt idx="11">
                  <c:v>2.653</c:v>
                </c:pt>
                <c:pt idx="12">
                  <c:v>2.6509999999999998</c:v>
                </c:pt>
                <c:pt idx="13">
                  <c:v>2.6520000000000001</c:v>
                </c:pt>
                <c:pt idx="14">
                  <c:v>2.653</c:v>
                </c:pt>
                <c:pt idx="15">
                  <c:v>2.6560000000000001</c:v>
                </c:pt>
                <c:pt idx="16">
                  <c:v>2.6520000000000001</c:v>
                </c:pt>
                <c:pt idx="17">
                  <c:v>2.653</c:v>
                </c:pt>
                <c:pt idx="18">
                  <c:v>2.657</c:v>
                </c:pt>
                <c:pt idx="19">
                  <c:v>2.6539999999999999</c:v>
                </c:pt>
                <c:pt idx="20">
                  <c:v>2.657</c:v>
                </c:pt>
                <c:pt idx="21">
                  <c:v>2.6579999999999999</c:v>
                </c:pt>
                <c:pt idx="22">
                  <c:v>2.661</c:v>
                </c:pt>
                <c:pt idx="23">
                  <c:v>2.6640000000000001</c:v>
                </c:pt>
                <c:pt idx="24">
                  <c:v>2.6640000000000001</c:v>
                </c:pt>
                <c:pt idx="25">
                  <c:v>2.6659999999999999</c:v>
                </c:pt>
                <c:pt idx="26">
                  <c:v>2.6640000000000001</c:v>
                </c:pt>
                <c:pt idx="27">
                  <c:v>2.6640000000000001</c:v>
                </c:pt>
                <c:pt idx="28">
                  <c:v>2.661</c:v>
                </c:pt>
                <c:pt idx="29">
                  <c:v>2.6619999999999999</c:v>
                </c:pt>
                <c:pt idx="30">
                  <c:v>2.665</c:v>
                </c:pt>
                <c:pt idx="31">
                  <c:v>2.6629999999999998</c:v>
                </c:pt>
                <c:pt idx="32">
                  <c:v>2.665</c:v>
                </c:pt>
                <c:pt idx="33">
                  <c:v>2.67</c:v>
                </c:pt>
                <c:pt idx="34">
                  <c:v>2.67</c:v>
                </c:pt>
                <c:pt idx="35">
                  <c:v>2.6680000000000001</c:v>
                </c:pt>
                <c:pt idx="36">
                  <c:v>2.6720000000000002</c:v>
                </c:pt>
                <c:pt idx="37">
                  <c:v>2.67</c:v>
                </c:pt>
                <c:pt idx="38">
                  <c:v>2.6739999999999999</c:v>
                </c:pt>
                <c:pt idx="39">
                  <c:v>2.673</c:v>
                </c:pt>
                <c:pt idx="40">
                  <c:v>2.677</c:v>
                </c:pt>
                <c:pt idx="41">
                  <c:v>2.681</c:v>
                </c:pt>
                <c:pt idx="42">
                  <c:v>2.6920000000000002</c:v>
                </c:pt>
                <c:pt idx="43">
                  <c:v>2.6829999999999998</c:v>
                </c:pt>
                <c:pt idx="44">
                  <c:v>2.6760000000000002</c:v>
                </c:pt>
                <c:pt idx="45">
                  <c:v>2.6760000000000002</c:v>
                </c:pt>
                <c:pt idx="46">
                  <c:v>2.6669999999999998</c:v>
                </c:pt>
                <c:pt idx="47">
                  <c:v>2.669</c:v>
                </c:pt>
                <c:pt idx="48">
                  <c:v>2.6680000000000001</c:v>
                </c:pt>
                <c:pt idx="49">
                  <c:v>2.665</c:v>
                </c:pt>
                <c:pt idx="50">
                  <c:v>2.6619999999999999</c:v>
                </c:pt>
                <c:pt idx="51">
                  <c:v>2.661</c:v>
                </c:pt>
                <c:pt idx="52">
                  <c:v>2.661</c:v>
                </c:pt>
                <c:pt idx="53">
                  <c:v>2.661</c:v>
                </c:pt>
                <c:pt idx="54">
                  <c:v>2.6589999999999998</c:v>
                </c:pt>
                <c:pt idx="55">
                  <c:v>2.6629999999999998</c:v>
                </c:pt>
                <c:pt idx="56">
                  <c:v>2.665</c:v>
                </c:pt>
                <c:pt idx="57">
                  <c:v>2.6619999999999999</c:v>
                </c:pt>
                <c:pt idx="58">
                  <c:v>2.6680000000000001</c:v>
                </c:pt>
                <c:pt idx="59">
                  <c:v>2.6709999999999998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97-44B7-80A0-5D40D50E748E}"/>
            </c:ext>
          </c:extLst>
        </c:ser>
        <c:ser>
          <c:idx val="3"/>
          <c:order val="3"/>
          <c:tx>
            <c:v>Actual IS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Sheet1!$AB$5:$AB$64</c:f>
              <c:numCache>
                <c:formatCode>#,##0.00</c:formatCode>
                <c:ptCount val="60"/>
                <c:pt idx="0">
                  <c:v>2.7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2.6</c:v>
                </c:pt>
                <c:pt idx="7">
                  <c:v>2.7</c:v>
                </c:pt>
                <c:pt idx="8">
                  <c:v>2.7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2.7</c:v>
                </c:pt>
                <c:pt idx="13">
                  <c:v>2.7</c:v>
                </c:pt>
                <c:pt idx="14">
                  <c:v>2.7</c:v>
                </c:pt>
                <c:pt idx="15">
                  <c:v>2.7</c:v>
                </c:pt>
                <c:pt idx="16">
                  <c:v>2.7</c:v>
                </c:pt>
                <c:pt idx="17">
                  <c:v>2.7</c:v>
                </c:pt>
                <c:pt idx="18">
                  <c:v>2.7</c:v>
                </c:pt>
                <c:pt idx="19">
                  <c:v>2.7</c:v>
                </c:pt>
                <c:pt idx="20">
                  <c:v>2.7</c:v>
                </c:pt>
                <c:pt idx="21">
                  <c:v>2.7</c:v>
                </c:pt>
                <c:pt idx="22">
                  <c:v>2.7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  <c:pt idx="34">
                  <c:v>2.7</c:v>
                </c:pt>
                <c:pt idx="35">
                  <c:v>2.7</c:v>
                </c:pt>
                <c:pt idx="36">
                  <c:v>2.7</c:v>
                </c:pt>
                <c:pt idx="37">
                  <c:v>2.7</c:v>
                </c:pt>
                <c:pt idx="38">
                  <c:v>2.7</c:v>
                </c:pt>
                <c:pt idx="39">
                  <c:v>2.7</c:v>
                </c:pt>
                <c:pt idx="40">
                  <c:v>2.7</c:v>
                </c:pt>
                <c:pt idx="41">
                  <c:v>2.7</c:v>
                </c:pt>
                <c:pt idx="42">
                  <c:v>2.7</c:v>
                </c:pt>
                <c:pt idx="43">
                  <c:v>2.7</c:v>
                </c:pt>
                <c:pt idx="44">
                  <c:v>2.7</c:v>
                </c:pt>
                <c:pt idx="45">
                  <c:v>2.7</c:v>
                </c:pt>
                <c:pt idx="46">
                  <c:v>2.7</c:v>
                </c:pt>
                <c:pt idx="47">
                  <c:v>2.7</c:v>
                </c:pt>
                <c:pt idx="48">
                  <c:v>2.7</c:v>
                </c:pt>
                <c:pt idx="49">
                  <c:v>2.7</c:v>
                </c:pt>
                <c:pt idx="50">
                  <c:v>2.7</c:v>
                </c:pt>
                <c:pt idx="51">
                  <c:v>2.7</c:v>
                </c:pt>
                <c:pt idx="52">
                  <c:v>2.7</c:v>
                </c:pt>
                <c:pt idx="53">
                  <c:v>2.7</c:v>
                </c:pt>
                <c:pt idx="54">
                  <c:v>2.7</c:v>
                </c:pt>
                <c:pt idx="55">
                  <c:v>2.7</c:v>
                </c:pt>
                <c:pt idx="56">
                  <c:v>2.7</c:v>
                </c:pt>
                <c:pt idx="57">
                  <c:v>2.7</c:v>
                </c:pt>
                <c:pt idx="58">
                  <c:v>2.7</c:v>
                </c:pt>
                <c:pt idx="59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97-44B7-80A0-5D40D50E748E}"/>
            </c:ext>
          </c:extLst>
        </c:ser>
        <c:ser>
          <c:idx val="4"/>
          <c:order val="4"/>
          <c:tx>
            <c:v>Raph's Meter IT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Sheet1!$AD$5:$AD$64</c:f>
              <c:numCache>
                <c:formatCode>#,##0.00</c:formatCode>
                <c:ptCount val="60"/>
                <c:pt idx="0">
                  <c:v>2.7440000000000002</c:v>
                </c:pt>
                <c:pt idx="1">
                  <c:v>2.7440000000000002</c:v>
                </c:pt>
                <c:pt idx="2">
                  <c:v>2.7440000000000002</c:v>
                </c:pt>
                <c:pt idx="3">
                  <c:v>2.734</c:v>
                </c:pt>
                <c:pt idx="4">
                  <c:v>2.7320000000000002</c:v>
                </c:pt>
                <c:pt idx="5">
                  <c:v>2.7269999999999999</c:v>
                </c:pt>
                <c:pt idx="6">
                  <c:v>2.726</c:v>
                </c:pt>
                <c:pt idx="7">
                  <c:v>2.7229999999999999</c:v>
                </c:pt>
                <c:pt idx="8">
                  <c:v>2.7250000000000001</c:v>
                </c:pt>
                <c:pt idx="9">
                  <c:v>2.7240000000000002</c:v>
                </c:pt>
                <c:pt idx="10">
                  <c:v>2.7229999999999999</c:v>
                </c:pt>
                <c:pt idx="11">
                  <c:v>2.726</c:v>
                </c:pt>
                <c:pt idx="12">
                  <c:v>2.7250000000000001</c:v>
                </c:pt>
                <c:pt idx="13">
                  <c:v>2.726</c:v>
                </c:pt>
                <c:pt idx="14">
                  <c:v>2.7280000000000002</c:v>
                </c:pt>
                <c:pt idx="15">
                  <c:v>2.73</c:v>
                </c:pt>
                <c:pt idx="16">
                  <c:v>2.7280000000000002</c:v>
                </c:pt>
                <c:pt idx="17">
                  <c:v>2.7280000000000002</c:v>
                </c:pt>
                <c:pt idx="18">
                  <c:v>2.7320000000000002</c:v>
                </c:pt>
                <c:pt idx="19">
                  <c:v>2.7320000000000002</c:v>
                </c:pt>
                <c:pt idx="20">
                  <c:v>2.734</c:v>
                </c:pt>
                <c:pt idx="21">
                  <c:v>2.7349999999999999</c:v>
                </c:pt>
                <c:pt idx="22">
                  <c:v>2.7349999999999999</c:v>
                </c:pt>
                <c:pt idx="23">
                  <c:v>2.7389999999999999</c:v>
                </c:pt>
                <c:pt idx="24">
                  <c:v>2.74</c:v>
                </c:pt>
                <c:pt idx="25">
                  <c:v>2.7410000000000001</c:v>
                </c:pt>
                <c:pt idx="26">
                  <c:v>2.742</c:v>
                </c:pt>
                <c:pt idx="27">
                  <c:v>2.7389999999999999</c:v>
                </c:pt>
                <c:pt idx="28">
                  <c:v>2.7389999999999999</c:v>
                </c:pt>
                <c:pt idx="29">
                  <c:v>2.7370000000000001</c:v>
                </c:pt>
                <c:pt idx="30">
                  <c:v>2.7389999999999999</c:v>
                </c:pt>
                <c:pt idx="31">
                  <c:v>2.7360000000000002</c:v>
                </c:pt>
                <c:pt idx="32">
                  <c:v>2.738</c:v>
                </c:pt>
                <c:pt idx="33">
                  <c:v>2.7450000000000001</c:v>
                </c:pt>
                <c:pt idx="34">
                  <c:v>2.7440000000000002</c:v>
                </c:pt>
                <c:pt idx="35">
                  <c:v>2.7429999999999999</c:v>
                </c:pt>
                <c:pt idx="36">
                  <c:v>2.7469999999999999</c:v>
                </c:pt>
                <c:pt idx="37">
                  <c:v>2.746</c:v>
                </c:pt>
                <c:pt idx="38">
                  <c:v>2.7469999999999999</c:v>
                </c:pt>
                <c:pt idx="39">
                  <c:v>2.75</c:v>
                </c:pt>
                <c:pt idx="40">
                  <c:v>2.75</c:v>
                </c:pt>
                <c:pt idx="41">
                  <c:v>2.7570000000000001</c:v>
                </c:pt>
                <c:pt idx="42">
                  <c:v>2.7749999999999999</c:v>
                </c:pt>
                <c:pt idx="43">
                  <c:v>2.766</c:v>
                </c:pt>
                <c:pt idx="44">
                  <c:v>2.7519999999999998</c:v>
                </c:pt>
                <c:pt idx="45">
                  <c:v>2.7509999999999999</c:v>
                </c:pt>
                <c:pt idx="46">
                  <c:v>2.7410000000000001</c:v>
                </c:pt>
                <c:pt idx="47">
                  <c:v>2.7429999999999999</c:v>
                </c:pt>
                <c:pt idx="48">
                  <c:v>2.742</c:v>
                </c:pt>
                <c:pt idx="49">
                  <c:v>2.7410000000000001</c:v>
                </c:pt>
                <c:pt idx="50">
                  <c:v>2.7360000000000002</c:v>
                </c:pt>
                <c:pt idx="51">
                  <c:v>2.7360000000000002</c:v>
                </c:pt>
                <c:pt idx="52">
                  <c:v>2.7349999999999999</c:v>
                </c:pt>
                <c:pt idx="53">
                  <c:v>2.734</c:v>
                </c:pt>
                <c:pt idx="54">
                  <c:v>2.738</c:v>
                </c:pt>
                <c:pt idx="55">
                  <c:v>2.7410000000000001</c:v>
                </c:pt>
                <c:pt idx="56">
                  <c:v>2.7450000000000001</c:v>
                </c:pt>
                <c:pt idx="57">
                  <c:v>2.74</c:v>
                </c:pt>
                <c:pt idx="58">
                  <c:v>2.7440000000000002</c:v>
                </c:pt>
                <c:pt idx="59">
                  <c:v>2.7469999999999999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D97-44B7-80A0-5D40D50E748E}"/>
            </c:ext>
          </c:extLst>
        </c:ser>
        <c:ser>
          <c:idx val="5"/>
          <c:order val="5"/>
          <c:tx>
            <c:v>Actual IT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diamond"/>
            <c:size val="4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Sheet1!$AE$5:$AE$64</c:f>
              <c:numCache>
                <c:formatCode>#,##0.00</c:formatCode>
                <c:ptCount val="60"/>
                <c:pt idx="0">
                  <c:v>2.7</c:v>
                </c:pt>
                <c:pt idx="1">
                  <c:v>2.7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2.7</c:v>
                </c:pt>
                <c:pt idx="8">
                  <c:v>2.7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2.7</c:v>
                </c:pt>
                <c:pt idx="13">
                  <c:v>2.7</c:v>
                </c:pt>
                <c:pt idx="14">
                  <c:v>2.7</c:v>
                </c:pt>
                <c:pt idx="15">
                  <c:v>2.7</c:v>
                </c:pt>
                <c:pt idx="16">
                  <c:v>2.7</c:v>
                </c:pt>
                <c:pt idx="17">
                  <c:v>2.7</c:v>
                </c:pt>
                <c:pt idx="18">
                  <c:v>2.7</c:v>
                </c:pt>
                <c:pt idx="19">
                  <c:v>2.7</c:v>
                </c:pt>
                <c:pt idx="20">
                  <c:v>2.7</c:v>
                </c:pt>
                <c:pt idx="21">
                  <c:v>2.7</c:v>
                </c:pt>
                <c:pt idx="22">
                  <c:v>2.7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  <c:pt idx="34">
                  <c:v>2.7</c:v>
                </c:pt>
                <c:pt idx="35">
                  <c:v>2.7</c:v>
                </c:pt>
                <c:pt idx="36">
                  <c:v>2.7</c:v>
                </c:pt>
                <c:pt idx="37">
                  <c:v>2.7</c:v>
                </c:pt>
                <c:pt idx="38">
                  <c:v>2.7</c:v>
                </c:pt>
                <c:pt idx="39">
                  <c:v>2.7</c:v>
                </c:pt>
                <c:pt idx="40">
                  <c:v>2.7</c:v>
                </c:pt>
                <c:pt idx="41">
                  <c:v>2.7</c:v>
                </c:pt>
                <c:pt idx="42">
                  <c:v>2.7</c:v>
                </c:pt>
                <c:pt idx="43">
                  <c:v>2.7</c:v>
                </c:pt>
                <c:pt idx="44">
                  <c:v>2.7</c:v>
                </c:pt>
                <c:pt idx="45">
                  <c:v>2.7</c:v>
                </c:pt>
                <c:pt idx="46">
                  <c:v>2.7</c:v>
                </c:pt>
                <c:pt idx="47">
                  <c:v>2.7</c:v>
                </c:pt>
                <c:pt idx="48">
                  <c:v>2.7</c:v>
                </c:pt>
                <c:pt idx="49">
                  <c:v>2.7</c:v>
                </c:pt>
                <c:pt idx="50">
                  <c:v>2.7</c:v>
                </c:pt>
                <c:pt idx="51">
                  <c:v>2.7</c:v>
                </c:pt>
                <c:pt idx="52">
                  <c:v>2.7</c:v>
                </c:pt>
                <c:pt idx="53">
                  <c:v>2.7</c:v>
                </c:pt>
                <c:pt idx="54">
                  <c:v>2.7</c:v>
                </c:pt>
                <c:pt idx="55">
                  <c:v>2.7</c:v>
                </c:pt>
                <c:pt idx="56">
                  <c:v>2.7</c:v>
                </c:pt>
                <c:pt idx="57">
                  <c:v>2.7</c:v>
                </c:pt>
                <c:pt idx="58">
                  <c:v>2.7</c:v>
                </c:pt>
                <c:pt idx="59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D97-44B7-80A0-5D40D50E7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Waktu (detik)</a:t>
                </a:r>
              </a:p>
            </c:rich>
          </c:tx>
          <c:layout>
            <c:manualLayout>
              <c:xMode val="edge"/>
              <c:yMode val="edge"/>
              <c:x val="0.4711459400927534"/>
              <c:y val="0.88604228544206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3"/>
          <c:min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>
                    <a:solidFill>
                      <a:schemeClr val="tx1"/>
                    </a:solidFill>
                  </a:rPr>
                  <a:t>Arus (Ampere)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0.1"/>
      </c:valAx>
      <c:spPr>
        <a:solidFill>
          <a:sysClr val="window" lastClr="FFFFFF"/>
        </a:solidFill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10475119508883907"/>
          <c:y val="0.66171637302682895"/>
          <c:w val="0.42230052232456211"/>
          <c:h val="0.13718772481085531"/>
        </c:manualLayout>
      </c:layout>
      <c:overlay val="0"/>
      <c:spPr>
        <a:noFill/>
        <a:ln>
          <a:noFill/>
        </a:ln>
        <a:effectLst/>
      </c:spPr>
      <c:txPr>
        <a:bodyPr rot="60000" spcFirstLastPara="1" vertOverflow="ellipsis" vert="horz" wrap="square" anchor="ctr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14413546669398"/>
          <c:y val="9.9840716686098563E-2"/>
          <c:w val="0.86287504741784027"/>
          <c:h val="0.73810405386905953"/>
        </c:manualLayout>
      </c:layout>
      <c:scatterChart>
        <c:scatterStyle val="smoothMarker"/>
        <c:varyColors val="0"/>
        <c:ser>
          <c:idx val="0"/>
          <c:order val="0"/>
          <c:tx>
            <c:v>Raph's Meter PR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>
                  <a:alpha val="97000"/>
                </a:srgbClr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Sheet1!$AG$5:$AG$64</c:f>
              <c:numCache>
                <c:formatCode>#,##0</c:formatCode>
                <c:ptCount val="60"/>
                <c:pt idx="0">
                  <c:v>241</c:v>
                </c:pt>
                <c:pt idx="1">
                  <c:v>242</c:v>
                </c:pt>
                <c:pt idx="2">
                  <c:v>229</c:v>
                </c:pt>
                <c:pt idx="3">
                  <c:v>222</c:v>
                </c:pt>
                <c:pt idx="4">
                  <c:v>222</c:v>
                </c:pt>
                <c:pt idx="5">
                  <c:v>221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219</c:v>
                </c:pt>
                <c:pt idx="10">
                  <c:v>219</c:v>
                </c:pt>
                <c:pt idx="11">
                  <c:v>219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221</c:v>
                </c:pt>
                <c:pt idx="20">
                  <c:v>221</c:v>
                </c:pt>
                <c:pt idx="21">
                  <c:v>221</c:v>
                </c:pt>
                <c:pt idx="22">
                  <c:v>222</c:v>
                </c:pt>
                <c:pt idx="23">
                  <c:v>221</c:v>
                </c:pt>
                <c:pt idx="24">
                  <c:v>223</c:v>
                </c:pt>
                <c:pt idx="25">
                  <c:v>223</c:v>
                </c:pt>
                <c:pt idx="26">
                  <c:v>224</c:v>
                </c:pt>
                <c:pt idx="27">
                  <c:v>224</c:v>
                </c:pt>
                <c:pt idx="28">
                  <c:v>223</c:v>
                </c:pt>
                <c:pt idx="29">
                  <c:v>224</c:v>
                </c:pt>
                <c:pt idx="30">
                  <c:v>224</c:v>
                </c:pt>
                <c:pt idx="31">
                  <c:v>224</c:v>
                </c:pt>
                <c:pt idx="32">
                  <c:v>225</c:v>
                </c:pt>
                <c:pt idx="33">
                  <c:v>226</c:v>
                </c:pt>
                <c:pt idx="34">
                  <c:v>226</c:v>
                </c:pt>
                <c:pt idx="35">
                  <c:v>225</c:v>
                </c:pt>
                <c:pt idx="36">
                  <c:v>226</c:v>
                </c:pt>
                <c:pt idx="37">
                  <c:v>228</c:v>
                </c:pt>
                <c:pt idx="38">
                  <c:v>228</c:v>
                </c:pt>
                <c:pt idx="39">
                  <c:v>229</c:v>
                </c:pt>
                <c:pt idx="40">
                  <c:v>231</c:v>
                </c:pt>
                <c:pt idx="41">
                  <c:v>233</c:v>
                </c:pt>
                <c:pt idx="42">
                  <c:v>238</c:v>
                </c:pt>
                <c:pt idx="43">
                  <c:v>234</c:v>
                </c:pt>
                <c:pt idx="44">
                  <c:v>231</c:v>
                </c:pt>
                <c:pt idx="45">
                  <c:v>229</c:v>
                </c:pt>
                <c:pt idx="46">
                  <c:v>222</c:v>
                </c:pt>
                <c:pt idx="47">
                  <c:v>228</c:v>
                </c:pt>
                <c:pt idx="48">
                  <c:v>228</c:v>
                </c:pt>
                <c:pt idx="49">
                  <c:v>227</c:v>
                </c:pt>
                <c:pt idx="50">
                  <c:v>226</c:v>
                </c:pt>
                <c:pt idx="51">
                  <c:v>227</c:v>
                </c:pt>
                <c:pt idx="52">
                  <c:v>226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226</c:v>
                </c:pt>
                <c:pt idx="57">
                  <c:v>225</c:v>
                </c:pt>
                <c:pt idx="58">
                  <c:v>227</c:v>
                </c:pt>
                <c:pt idx="59">
                  <c:v>230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22-4DAE-B456-189C2826DE33}"/>
            </c:ext>
          </c:extLst>
        </c:ser>
        <c:ser>
          <c:idx val="1"/>
          <c:order val="1"/>
          <c:tx>
            <c:v>Actual PR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Sheet1!$AH$5:$AH$64</c:f>
              <c:numCache>
                <c:formatCode>#,##0</c:formatCode>
                <c:ptCount val="60"/>
                <c:pt idx="0" formatCode="General">
                  <c:v>239</c:v>
                </c:pt>
                <c:pt idx="1">
                  <c:v>240</c:v>
                </c:pt>
                <c:pt idx="2">
                  <c:v>228</c:v>
                </c:pt>
                <c:pt idx="3">
                  <c:v>220</c:v>
                </c:pt>
                <c:pt idx="4">
                  <c:v>220</c:v>
                </c:pt>
                <c:pt idx="5">
                  <c:v>219</c:v>
                </c:pt>
                <c:pt idx="6">
                  <c:v>218</c:v>
                </c:pt>
                <c:pt idx="7">
                  <c:v>219</c:v>
                </c:pt>
                <c:pt idx="8">
                  <c:v>219</c:v>
                </c:pt>
                <c:pt idx="9">
                  <c:v>218</c:v>
                </c:pt>
                <c:pt idx="10">
                  <c:v>218</c:v>
                </c:pt>
                <c:pt idx="11">
                  <c:v>218</c:v>
                </c:pt>
                <c:pt idx="12">
                  <c:v>219</c:v>
                </c:pt>
                <c:pt idx="13">
                  <c:v>219</c:v>
                </c:pt>
                <c:pt idx="14">
                  <c:v>219</c:v>
                </c:pt>
                <c:pt idx="15">
                  <c:v>219</c:v>
                </c:pt>
                <c:pt idx="16">
                  <c:v>219</c:v>
                </c:pt>
                <c:pt idx="17">
                  <c:v>219</c:v>
                </c:pt>
                <c:pt idx="18">
                  <c:v>219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221</c:v>
                </c:pt>
                <c:pt idx="25">
                  <c:v>221</c:v>
                </c:pt>
                <c:pt idx="26">
                  <c:v>222</c:v>
                </c:pt>
                <c:pt idx="27">
                  <c:v>222</c:v>
                </c:pt>
                <c:pt idx="28">
                  <c:v>221</c:v>
                </c:pt>
                <c:pt idx="29">
                  <c:v>222</c:v>
                </c:pt>
                <c:pt idx="30">
                  <c:v>222</c:v>
                </c:pt>
                <c:pt idx="31">
                  <c:v>222</c:v>
                </c:pt>
                <c:pt idx="32">
                  <c:v>223</c:v>
                </c:pt>
                <c:pt idx="33">
                  <c:v>224</c:v>
                </c:pt>
                <c:pt idx="34">
                  <c:v>224</c:v>
                </c:pt>
                <c:pt idx="35">
                  <c:v>223</c:v>
                </c:pt>
                <c:pt idx="36">
                  <c:v>224</c:v>
                </c:pt>
                <c:pt idx="37">
                  <c:v>226</c:v>
                </c:pt>
                <c:pt idx="38">
                  <c:v>226</c:v>
                </c:pt>
                <c:pt idx="39">
                  <c:v>227</c:v>
                </c:pt>
                <c:pt idx="40">
                  <c:v>229</c:v>
                </c:pt>
                <c:pt idx="41">
                  <c:v>231</c:v>
                </c:pt>
                <c:pt idx="42">
                  <c:v>236</c:v>
                </c:pt>
                <c:pt idx="43">
                  <c:v>232</c:v>
                </c:pt>
                <c:pt idx="44">
                  <c:v>229</c:v>
                </c:pt>
                <c:pt idx="45">
                  <c:v>227</c:v>
                </c:pt>
                <c:pt idx="46">
                  <c:v>220</c:v>
                </c:pt>
                <c:pt idx="47">
                  <c:v>226</c:v>
                </c:pt>
                <c:pt idx="48">
                  <c:v>226</c:v>
                </c:pt>
                <c:pt idx="49">
                  <c:v>225</c:v>
                </c:pt>
                <c:pt idx="50">
                  <c:v>224</c:v>
                </c:pt>
                <c:pt idx="51">
                  <c:v>225</c:v>
                </c:pt>
                <c:pt idx="52">
                  <c:v>224</c:v>
                </c:pt>
                <c:pt idx="53">
                  <c:v>223</c:v>
                </c:pt>
                <c:pt idx="54">
                  <c:v>223</c:v>
                </c:pt>
                <c:pt idx="55">
                  <c:v>223</c:v>
                </c:pt>
                <c:pt idx="56">
                  <c:v>224</c:v>
                </c:pt>
                <c:pt idx="57">
                  <c:v>223</c:v>
                </c:pt>
                <c:pt idx="58">
                  <c:v>225</c:v>
                </c:pt>
                <c:pt idx="59">
                  <c:v>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22-4DAE-B456-189C2826DE33}"/>
            </c:ext>
          </c:extLst>
        </c:ser>
        <c:ser>
          <c:idx val="2"/>
          <c:order val="2"/>
          <c:tx>
            <c:v>Raph's Meter PS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Sheet1!$AJ$5:$AJ$64</c:f>
              <c:numCache>
                <c:formatCode>General</c:formatCode>
                <c:ptCount val="60"/>
                <c:pt idx="0">
                  <c:v>278</c:v>
                </c:pt>
                <c:pt idx="1">
                  <c:v>279</c:v>
                </c:pt>
                <c:pt idx="2">
                  <c:v>265</c:v>
                </c:pt>
                <c:pt idx="3">
                  <c:v>257</c:v>
                </c:pt>
                <c:pt idx="4" formatCode="#,##0">
                  <c:v>258</c:v>
                </c:pt>
                <c:pt idx="5" formatCode="#,##0">
                  <c:v>256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254</c:v>
                </c:pt>
                <c:pt idx="10">
                  <c:v>255</c:v>
                </c:pt>
                <c:pt idx="11">
                  <c:v>254</c:v>
                </c:pt>
                <c:pt idx="12">
                  <c:v>254</c:v>
                </c:pt>
                <c:pt idx="13">
                  <c:v>254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 formatCode="#,##0">
                  <c:v>256</c:v>
                </c:pt>
                <c:pt idx="20" formatCode="#,##0">
                  <c:v>256</c:v>
                </c:pt>
                <c:pt idx="21" formatCode="#,##0">
                  <c:v>257</c:v>
                </c:pt>
                <c:pt idx="22">
                  <c:v>257</c:v>
                </c:pt>
                <c:pt idx="23">
                  <c:v>259</c:v>
                </c:pt>
                <c:pt idx="24" formatCode="#,##0">
                  <c:v>259</c:v>
                </c:pt>
                <c:pt idx="25">
                  <c:v>259</c:v>
                </c:pt>
                <c:pt idx="26">
                  <c:v>259</c:v>
                </c:pt>
                <c:pt idx="27">
                  <c:v>259</c:v>
                </c:pt>
                <c:pt idx="28">
                  <c:v>258</c:v>
                </c:pt>
                <c:pt idx="29">
                  <c:v>259</c:v>
                </c:pt>
                <c:pt idx="30">
                  <c:v>259</c:v>
                </c:pt>
                <c:pt idx="31">
                  <c:v>259</c:v>
                </c:pt>
                <c:pt idx="32">
                  <c:v>259</c:v>
                </c:pt>
                <c:pt idx="33" formatCode="#,##0">
                  <c:v>260</c:v>
                </c:pt>
                <c:pt idx="34">
                  <c:v>261</c:v>
                </c:pt>
                <c:pt idx="35">
                  <c:v>261</c:v>
                </c:pt>
                <c:pt idx="36" formatCode="#,##0">
                  <c:v>262</c:v>
                </c:pt>
                <c:pt idx="37">
                  <c:v>263</c:v>
                </c:pt>
                <c:pt idx="38">
                  <c:v>264</c:v>
                </c:pt>
                <c:pt idx="39">
                  <c:v>266</c:v>
                </c:pt>
                <c:pt idx="40">
                  <c:v>268</c:v>
                </c:pt>
                <c:pt idx="41">
                  <c:v>269</c:v>
                </c:pt>
                <c:pt idx="42">
                  <c:v>275</c:v>
                </c:pt>
                <c:pt idx="43">
                  <c:v>271</c:v>
                </c:pt>
                <c:pt idx="44">
                  <c:v>267</c:v>
                </c:pt>
                <c:pt idx="45">
                  <c:v>264</c:v>
                </c:pt>
                <c:pt idx="46" formatCode="#,##0">
                  <c:v>263</c:v>
                </c:pt>
                <c:pt idx="47" formatCode="#,##0">
                  <c:v>262</c:v>
                </c:pt>
                <c:pt idx="48">
                  <c:v>262</c:v>
                </c:pt>
                <c:pt idx="49">
                  <c:v>262</c:v>
                </c:pt>
                <c:pt idx="50">
                  <c:v>260</c:v>
                </c:pt>
                <c:pt idx="51">
                  <c:v>261</c:v>
                </c:pt>
                <c:pt idx="52">
                  <c:v>260</c:v>
                </c:pt>
                <c:pt idx="53">
                  <c:v>260</c:v>
                </c:pt>
                <c:pt idx="54">
                  <c:v>259</c:v>
                </c:pt>
                <c:pt idx="55">
                  <c:v>259</c:v>
                </c:pt>
                <c:pt idx="56">
                  <c:v>260</c:v>
                </c:pt>
                <c:pt idx="57">
                  <c:v>259</c:v>
                </c:pt>
                <c:pt idx="58">
                  <c:v>261</c:v>
                </c:pt>
                <c:pt idx="59">
                  <c:v>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22-4DAE-B456-189C2826DE33}"/>
            </c:ext>
          </c:extLst>
        </c:ser>
        <c:ser>
          <c:idx val="3"/>
          <c:order val="3"/>
          <c:tx>
            <c:v>Actual PS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Sheet1!$AK$5:$AK$64</c:f>
              <c:numCache>
                <c:formatCode>#,##0</c:formatCode>
                <c:ptCount val="60"/>
                <c:pt idx="0">
                  <c:v>276</c:v>
                </c:pt>
                <c:pt idx="1">
                  <c:v>277</c:v>
                </c:pt>
                <c:pt idx="2">
                  <c:v>264</c:v>
                </c:pt>
                <c:pt idx="3">
                  <c:v>256</c:v>
                </c:pt>
                <c:pt idx="4">
                  <c:v>256</c:v>
                </c:pt>
                <c:pt idx="5">
                  <c:v>255</c:v>
                </c:pt>
                <c:pt idx="6">
                  <c:v>254</c:v>
                </c:pt>
                <c:pt idx="7">
                  <c:v>254</c:v>
                </c:pt>
                <c:pt idx="8">
                  <c:v>254</c:v>
                </c:pt>
                <c:pt idx="9">
                  <c:v>253</c:v>
                </c:pt>
                <c:pt idx="10">
                  <c:v>254</c:v>
                </c:pt>
                <c:pt idx="11">
                  <c:v>253</c:v>
                </c:pt>
                <c:pt idx="12">
                  <c:v>253</c:v>
                </c:pt>
                <c:pt idx="13">
                  <c:v>253</c:v>
                </c:pt>
                <c:pt idx="14">
                  <c:v>254</c:v>
                </c:pt>
                <c:pt idx="15">
                  <c:v>254</c:v>
                </c:pt>
                <c:pt idx="16">
                  <c:v>254</c:v>
                </c:pt>
                <c:pt idx="17">
                  <c:v>254</c:v>
                </c:pt>
                <c:pt idx="18">
                  <c:v>254</c:v>
                </c:pt>
                <c:pt idx="19">
                  <c:v>255</c:v>
                </c:pt>
                <c:pt idx="20">
                  <c:v>255</c:v>
                </c:pt>
                <c:pt idx="21">
                  <c:v>256</c:v>
                </c:pt>
                <c:pt idx="22">
                  <c:v>256</c:v>
                </c:pt>
                <c:pt idx="23">
                  <c:v>257</c:v>
                </c:pt>
                <c:pt idx="24">
                  <c:v>257</c:v>
                </c:pt>
                <c:pt idx="25">
                  <c:v>257</c:v>
                </c:pt>
                <c:pt idx="26">
                  <c:v>257</c:v>
                </c:pt>
                <c:pt idx="27">
                  <c:v>257</c:v>
                </c:pt>
                <c:pt idx="28">
                  <c:v>256</c:v>
                </c:pt>
                <c:pt idx="29">
                  <c:v>257</c:v>
                </c:pt>
                <c:pt idx="30">
                  <c:v>257</c:v>
                </c:pt>
                <c:pt idx="31">
                  <c:v>257</c:v>
                </c:pt>
                <c:pt idx="32">
                  <c:v>257</c:v>
                </c:pt>
                <c:pt idx="33">
                  <c:v>258</c:v>
                </c:pt>
                <c:pt idx="34">
                  <c:v>259</c:v>
                </c:pt>
                <c:pt idx="35">
                  <c:v>259</c:v>
                </c:pt>
                <c:pt idx="36">
                  <c:v>260</c:v>
                </c:pt>
                <c:pt idx="37">
                  <c:v>261</c:v>
                </c:pt>
                <c:pt idx="38">
                  <c:v>262</c:v>
                </c:pt>
                <c:pt idx="39">
                  <c:v>264</c:v>
                </c:pt>
                <c:pt idx="40">
                  <c:v>266</c:v>
                </c:pt>
                <c:pt idx="41">
                  <c:v>267</c:v>
                </c:pt>
                <c:pt idx="42">
                  <c:v>273</c:v>
                </c:pt>
                <c:pt idx="43">
                  <c:v>269</c:v>
                </c:pt>
                <c:pt idx="44">
                  <c:v>266</c:v>
                </c:pt>
                <c:pt idx="45">
                  <c:v>262</c:v>
                </c:pt>
                <c:pt idx="46">
                  <c:v>261</c:v>
                </c:pt>
                <c:pt idx="47">
                  <c:v>260</c:v>
                </c:pt>
                <c:pt idx="48">
                  <c:v>260</c:v>
                </c:pt>
                <c:pt idx="49">
                  <c:v>260</c:v>
                </c:pt>
                <c:pt idx="50">
                  <c:v>258</c:v>
                </c:pt>
                <c:pt idx="51">
                  <c:v>259</c:v>
                </c:pt>
                <c:pt idx="52">
                  <c:v>258</c:v>
                </c:pt>
                <c:pt idx="53">
                  <c:v>258</c:v>
                </c:pt>
                <c:pt idx="54">
                  <c:v>257</c:v>
                </c:pt>
                <c:pt idx="55">
                  <c:v>257</c:v>
                </c:pt>
                <c:pt idx="56">
                  <c:v>258</c:v>
                </c:pt>
                <c:pt idx="57">
                  <c:v>258</c:v>
                </c:pt>
                <c:pt idx="58">
                  <c:v>258</c:v>
                </c:pt>
                <c:pt idx="59">
                  <c:v>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22-4DAE-B456-189C2826DE33}"/>
            </c:ext>
          </c:extLst>
        </c:ser>
        <c:ser>
          <c:idx val="4"/>
          <c:order val="4"/>
          <c:tx>
            <c:v>Raph's Meter PT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Sheet1!$AM$5:$AM$64</c:f>
              <c:numCache>
                <c:formatCode>#,##0</c:formatCode>
                <c:ptCount val="60"/>
                <c:pt idx="0">
                  <c:v>245</c:v>
                </c:pt>
                <c:pt idx="1">
                  <c:v>246</c:v>
                </c:pt>
                <c:pt idx="2">
                  <c:v>247</c:v>
                </c:pt>
                <c:pt idx="3">
                  <c:v>241</c:v>
                </c:pt>
                <c:pt idx="4">
                  <c:v>240</c:v>
                </c:pt>
                <c:pt idx="5">
                  <c:v>239</c:v>
                </c:pt>
                <c:pt idx="6">
                  <c:v>237</c:v>
                </c:pt>
                <c:pt idx="7">
                  <c:v>237</c:v>
                </c:pt>
                <c:pt idx="8">
                  <c:v>237</c:v>
                </c:pt>
                <c:pt idx="9">
                  <c:v>236</c:v>
                </c:pt>
                <c:pt idx="10">
                  <c:v>236</c:v>
                </c:pt>
                <c:pt idx="11">
                  <c:v>236</c:v>
                </c:pt>
                <c:pt idx="12">
                  <c:v>237</c:v>
                </c:pt>
                <c:pt idx="13">
                  <c:v>237</c:v>
                </c:pt>
                <c:pt idx="14">
                  <c:v>237</c:v>
                </c:pt>
                <c:pt idx="15">
                  <c:v>237</c:v>
                </c:pt>
                <c:pt idx="16">
                  <c:v>238</c:v>
                </c:pt>
                <c:pt idx="17">
                  <c:v>237</c:v>
                </c:pt>
                <c:pt idx="18">
                  <c:v>237</c:v>
                </c:pt>
                <c:pt idx="19">
                  <c:v>238</c:v>
                </c:pt>
                <c:pt idx="20">
                  <c:v>239</c:v>
                </c:pt>
                <c:pt idx="21">
                  <c:v>239</c:v>
                </c:pt>
                <c:pt idx="22">
                  <c:v>240</c:v>
                </c:pt>
                <c:pt idx="23">
                  <c:v>239</c:v>
                </c:pt>
                <c:pt idx="24">
                  <c:v>241</c:v>
                </c:pt>
                <c:pt idx="25">
                  <c:v>241</c:v>
                </c:pt>
                <c:pt idx="26">
                  <c:v>242</c:v>
                </c:pt>
                <c:pt idx="27">
                  <c:v>242</c:v>
                </c:pt>
                <c:pt idx="28">
                  <c:v>241</c:v>
                </c:pt>
                <c:pt idx="29">
                  <c:v>242</c:v>
                </c:pt>
                <c:pt idx="30">
                  <c:v>243</c:v>
                </c:pt>
                <c:pt idx="31">
                  <c:v>242</c:v>
                </c:pt>
                <c:pt idx="32">
                  <c:v>242</c:v>
                </c:pt>
                <c:pt idx="33">
                  <c:v>243</c:v>
                </c:pt>
                <c:pt idx="34">
                  <c:v>243</c:v>
                </c:pt>
                <c:pt idx="35">
                  <c:v>243</c:v>
                </c:pt>
                <c:pt idx="36">
                  <c:v>244</c:v>
                </c:pt>
                <c:pt idx="37">
                  <c:v>244</c:v>
                </c:pt>
                <c:pt idx="38">
                  <c:v>246</c:v>
                </c:pt>
                <c:pt idx="39">
                  <c:v>247</c:v>
                </c:pt>
                <c:pt idx="40">
                  <c:v>248</c:v>
                </c:pt>
                <c:pt idx="41">
                  <c:v>251</c:v>
                </c:pt>
                <c:pt idx="42">
                  <c:v>260</c:v>
                </c:pt>
                <c:pt idx="43">
                  <c:v>256</c:v>
                </c:pt>
                <c:pt idx="44">
                  <c:v>249</c:v>
                </c:pt>
                <c:pt idx="45">
                  <c:v>247</c:v>
                </c:pt>
                <c:pt idx="46">
                  <c:v>247</c:v>
                </c:pt>
                <c:pt idx="47">
                  <c:v>245</c:v>
                </c:pt>
                <c:pt idx="48">
                  <c:v>245</c:v>
                </c:pt>
                <c:pt idx="49">
                  <c:v>245</c:v>
                </c:pt>
                <c:pt idx="50">
                  <c:v>244</c:v>
                </c:pt>
                <c:pt idx="51">
                  <c:v>244</c:v>
                </c:pt>
                <c:pt idx="52">
                  <c:v>244</c:v>
                </c:pt>
                <c:pt idx="53">
                  <c:v>243</c:v>
                </c:pt>
                <c:pt idx="54">
                  <c:v>243</c:v>
                </c:pt>
                <c:pt idx="55">
                  <c:v>244</c:v>
                </c:pt>
                <c:pt idx="56">
                  <c:v>244</c:v>
                </c:pt>
                <c:pt idx="57">
                  <c:v>244</c:v>
                </c:pt>
                <c:pt idx="58">
                  <c:v>244</c:v>
                </c:pt>
                <c:pt idx="59">
                  <c:v>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22-4DAE-B456-189C2826DE33}"/>
            </c:ext>
          </c:extLst>
        </c:ser>
        <c:ser>
          <c:idx val="5"/>
          <c:order val="5"/>
          <c:tx>
            <c:v>Actual PT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Sheet1!$AN$5:$AN$64</c:f>
              <c:numCache>
                <c:formatCode>#,##0</c:formatCode>
                <c:ptCount val="60"/>
                <c:pt idx="0">
                  <c:v>243</c:v>
                </c:pt>
                <c:pt idx="1">
                  <c:v>244</c:v>
                </c:pt>
                <c:pt idx="2">
                  <c:v>245</c:v>
                </c:pt>
                <c:pt idx="3">
                  <c:v>239</c:v>
                </c:pt>
                <c:pt idx="4">
                  <c:v>238</c:v>
                </c:pt>
                <c:pt idx="5">
                  <c:v>237</c:v>
                </c:pt>
                <c:pt idx="6">
                  <c:v>235</c:v>
                </c:pt>
                <c:pt idx="7">
                  <c:v>235</c:v>
                </c:pt>
                <c:pt idx="8">
                  <c:v>235</c:v>
                </c:pt>
                <c:pt idx="9">
                  <c:v>234</c:v>
                </c:pt>
                <c:pt idx="10">
                  <c:v>234</c:v>
                </c:pt>
                <c:pt idx="11">
                  <c:v>234</c:v>
                </c:pt>
                <c:pt idx="12">
                  <c:v>235</c:v>
                </c:pt>
                <c:pt idx="13">
                  <c:v>235</c:v>
                </c:pt>
                <c:pt idx="14">
                  <c:v>235</c:v>
                </c:pt>
                <c:pt idx="15">
                  <c:v>235</c:v>
                </c:pt>
                <c:pt idx="16">
                  <c:v>236</c:v>
                </c:pt>
                <c:pt idx="17">
                  <c:v>235</c:v>
                </c:pt>
                <c:pt idx="18">
                  <c:v>235</c:v>
                </c:pt>
                <c:pt idx="19">
                  <c:v>236</c:v>
                </c:pt>
                <c:pt idx="20">
                  <c:v>237</c:v>
                </c:pt>
                <c:pt idx="21">
                  <c:v>237</c:v>
                </c:pt>
                <c:pt idx="22">
                  <c:v>238</c:v>
                </c:pt>
                <c:pt idx="23">
                  <c:v>237</c:v>
                </c:pt>
                <c:pt idx="24">
                  <c:v>239</c:v>
                </c:pt>
                <c:pt idx="25">
                  <c:v>239</c:v>
                </c:pt>
                <c:pt idx="26">
                  <c:v>240</c:v>
                </c:pt>
                <c:pt idx="27">
                  <c:v>240</c:v>
                </c:pt>
                <c:pt idx="28">
                  <c:v>239</c:v>
                </c:pt>
                <c:pt idx="29">
                  <c:v>240</c:v>
                </c:pt>
                <c:pt idx="30">
                  <c:v>241</c:v>
                </c:pt>
                <c:pt idx="31">
                  <c:v>240</c:v>
                </c:pt>
                <c:pt idx="32">
                  <c:v>240</c:v>
                </c:pt>
                <c:pt idx="33">
                  <c:v>241</c:v>
                </c:pt>
                <c:pt idx="34">
                  <c:v>241</c:v>
                </c:pt>
                <c:pt idx="35">
                  <c:v>241</c:v>
                </c:pt>
                <c:pt idx="36">
                  <c:v>242</c:v>
                </c:pt>
                <c:pt idx="37">
                  <c:v>242</c:v>
                </c:pt>
                <c:pt idx="38">
                  <c:v>244</c:v>
                </c:pt>
                <c:pt idx="39">
                  <c:v>245</c:v>
                </c:pt>
                <c:pt idx="40">
                  <c:v>246</c:v>
                </c:pt>
                <c:pt idx="41">
                  <c:v>249</c:v>
                </c:pt>
                <c:pt idx="42">
                  <c:v>258</c:v>
                </c:pt>
                <c:pt idx="43">
                  <c:v>254</c:v>
                </c:pt>
                <c:pt idx="44">
                  <c:v>247</c:v>
                </c:pt>
                <c:pt idx="45">
                  <c:v>245</c:v>
                </c:pt>
                <c:pt idx="46">
                  <c:v>245</c:v>
                </c:pt>
                <c:pt idx="47">
                  <c:v>243</c:v>
                </c:pt>
                <c:pt idx="48">
                  <c:v>243</c:v>
                </c:pt>
                <c:pt idx="49">
                  <c:v>243</c:v>
                </c:pt>
                <c:pt idx="50">
                  <c:v>242</c:v>
                </c:pt>
                <c:pt idx="51">
                  <c:v>242</c:v>
                </c:pt>
                <c:pt idx="52">
                  <c:v>242</c:v>
                </c:pt>
                <c:pt idx="53">
                  <c:v>241</c:v>
                </c:pt>
                <c:pt idx="54">
                  <c:v>241</c:v>
                </c:pt>
                <c:pt idx="55">
                  <c:v>242</c:v>
                </c:pt>
                <c:pt idx="56">
                  <c:v>242</c:v>
                </c:pt>
                <c:pt idx="57">
                  <c:v>242</c:v>
                </c:pt>
                <c:pt idx="58">
                  <c:v>242</c:v>
                </c:pt>
                <c:pt idx="59">
                  <c:v>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22-4DAE-B456-189C2826D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280"/>
          <c:min val="2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Aktif (Watt)</a:t>
                </a:r>
              </a:p>
            </c:rich>
          </c:tx>
          <c:layout>
            <c:manualLayout>
              <c:xMode val="edge"/>
              <c:yMode val="edge"/>
              <c:x val="3.515861924937181E-4"/>
              <c:y val="0.4299025118550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#,##0" sourceLinked="1"/>
        <c:majorTickMark val="cross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8"/>
        <c:minorUnit val="0.5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17724500750798869"/>
          <c:y val="0.11295221734466979"/>
          <c:w val="0.43815425531025559"/>
          <c:h val="0.123342865452623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8.4190869245857669E-2"/>
          <c:w val="0.86287504741784027"/>
          <c:h val="0.73819569806605112"/>
        </c:manualLayout>
      </c:layout>
      <c:scatterChart>
        <c:scatterStyle val="smoothMarker"/>
        <c:varyColors val="0"/>
        <c:ser>
          <c:idx val="0"/>
          <c:order val="0"/>
          <c:tx>
            <c:v>Raph's Meter SR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Sheet1!$AP$5:$AP$64</c:f>
              <c:numCache>
                <c:formatCode>#,##0</c:formatCode>
                <c:ptCount val="60"/>
                <c:pt idx="0">
                  <c:v>610</c:v>
                </c:pt>
                <c:pt idx="1">
                  <c:v>611</c:v>
                </c:pt>
                <c:pt idx="2">
                  <c:v>606</c:v>
                </c:pt>
                <c:pt idx="3">
                  <c:v>603</c:v>
                </c:pt>
                <c:pt idx="4">
                  <c:v>603</c:v>
                </c:pt>
                <c:pt idx="5">
                  <c:v>602</c:v>
                </c:pt>
                <c:pt idx="6">
                  <c:v>602</c:v>
                </c:pt>
                <c:pt idx="7">
                  <c:v>601</c:v>
                </c:pt>
                <c:pt idx="8">
                  <c:v>601</c:v>
                </c:pt>
                <c:pt idx="9">
                  <c:v>601</c:v>
                </c:pt>
                <c:pt idx="10">
                  <c:v>603</c:v>
                </c:pt>
                <c:pt idx="11">
                  <c:v>602</c:v>
                </c:pt>
                <c:pt idx="12">
                  <c:v>602</c:v>
                </c:pt>
                <c:pt idx="13">
                  <c:v>602</c:v>
                </c:pt>
                <c:pt idx="14">
                  <c:v>602</c:v>
                </c:pt>
                <c:pt idx="15">
                  <c:v>603</c:v>
                </c:pt>
                <c:pt idx="16">
                  <c:v>602</c:v>
                </c:pt>
                <c:pt idx="17">
                  <c:v>603</c:v>
                </c:pt>
                <c:pt idx="18">
                  <c:v>604</c:v>
                </c:pt>
                <c:pt idx="19">
                  <c:v>603</c:v>
                </c:pt>
                <c:pt idx="20">
                  <c:v>604</c:v>
                </c:pt>
                <c:pt idx="21">
                  <c:v>604</c:v>
                </c:pt>
                <c:pt idx="22">
                  <c:v>605</c:v>
                </c:pt>
                <c:pt idx="23">
                  <c:v>605</c:v>
                </c:pt>
                <c:pt idx="24">
                  <c:v>605</c:v>
                </c:pt>
                <c:pt idx="25">
                  <c:v>606</c:v>
                </c:pt>
                <c:pt idx="26">
                  <c:v>605</c:v>
                </c:pt>
                <c:pt idx="27">
                  <c:v>606</c:v>
                </c:pt>
                <c:pt idx="28">
                  <c:v>605</c:v>
                </c:pt>
                <c:pt idx="29">
                  <c:v>605</c:v>
                </c:pt>
                <c:pt idx="30">
                  <c:v>606</c:v>
                </c:pt>
                <c:pt idx="31">
                  <c:v>605</c:v>
                </c:pt>
                <c:pt idx="32">
                  <c:v>606</c:v>
                </c:pt>
                <c:pt idx="33">
                  <c:v>607</c:v>
                </c:pt>
                <c:pt idx="34">
                  <c:v>607</c:v>
                </c:pt>
                <c:pt idx="35">
                  <c:v>606</c:v>
                </c:pt>
                <c:pt idx="36">
                  <c:v>607</c:v>
                </c:pt>
                <c:pt idx="37">
                  <c:v>606</c:v>
                </c:pt>
                <c:pt idx="38">
                  <c:v>607</c:v>
                </c:pt>
                <c:pt idx="39">
                  <c:v>607</c:v>
                </c:pt>
                <c:pt idx="40">
                  <c:v>607</c:v>
                </c:pt>
                <c:pt idx="41">
                  <c:v>608</c:v>
                </c:pt>
                <c:pt idx="42">
                  <c:v>610</c:v>
                </c:pt>
                <c:pt idx="43">
                  <c:v>608</c:v>
                </c:pt>
                <c:pt idx="44">
                  <c:v>607</c:v>
                </c:pt>
                <c:pt idx="45">
                  <c:v>607</c:v>
                </c:pt>
                <c:pt idx="46">
                  <c:v>588</c:v>
                </c:pt>
                <c:pt idx="47">
                  <c:v>606</c:v>
                </c:pt>
                <c:pt idx="48">
                  <c:v>606</c:v>
                </c:pt>
                <c:pt idx="49">
                  <c:v>605</c:v>
                </c:pt>
                <c:pt idx="50">
                  <c:v>604</c:v>
                </c:pt>
                <c:pt idx="51">
                  <c:v>604</c:v>
                </c:pt>
                <c:pt idx="52">
                  <c:v>604</c:v>
                </c:pt>
                <c:pt idx="53">
                  <c:v>603</c:v>
                </c:pt>
                <c:pt idx="54">
                  <c:v>605</c:v>
                </c:pt>
                <c:pt idx="55">
                  <c:v>606</c:v>
                </c:pt>
                <c:pt idx="56">
                  <c:v>607</c:v>
                </c:pt>
                <c:pt idx="57">
                  <c:v>606</c:v>
                </c:pt>
                <c:pt idx="58">
                  <c:v>608</c:v>
                </c:pt>
                <c:pt idx="59">
                  <c:v>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9E-4CDF-9888-6EE03DC1D4C2}"/>
            </c:ext>
          </c:extLst>
        </c:ser>
        <c:ser>
          <c:idx val="1"/>
          <c:order val="1"/>
          <c:tx>
            <c:v>Actual SR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Sheet1!$AQ$5:$AQ$64</c:f>
              <c:numCache>
                <c:formatCode>#,##0</c:formatCode>
                <c:ptCount val="60"/>
                <c:pt idx="0">
                  <c:v>608</c:v>
                </c:pt>
                <c:pt idx="1">
                  <c:v>609</c:v>
                </c:pt>
                <c:pt idx="2">
                  <c:v>604</c:v>
                </c:pt>
                <c:pt idx="3">
                  <c:v>601</c:v>
                </c:pt>
                <c:pt idx="4">
                  <c:v>601</c:v>
                </c:pt>
                <c:pt idx="5">
                  <c:v>600</c:v>
                </c:pt>
                <c:pt idx="6">
                  <c:v>600</c:v>
                </c:pt>
                <c:pt idx="7">
                  <c:v>599</c:v>
                </c:pt>
                <c:pt idx="8">
                  <c:v>599</c:v>
                </c:pt>
                <c:pt idx="9">
                  <c:v>599</c:v>
                </c:pt>
                <c:pt idx="10">
                  <c:v>601</c:v>
                </c:pt>
                <c:pt idx="11">
                  <c:v>601</c:v>
                </c:pt>
                <c:pt idx="12">
                  <c:v>601</c:v>
                </c:pt>
                <c:pt idx="13">
                  <c:v>601</c:v>
                </c:pt>
                <c:pt idx="14">
                  <c:v>601</c:v>
                </c:pt>
                <c:pt idx="15">
                  <c:v>601</c:v>
                </c:pt>
                <c:pt idx="16">
                  <c:v>601</c:v>
                </c:pt>
                <c:pt idx="17">
                  <c:v>601</c:v>
                </c:pt>
                <c:pt idx="18">
                  <c:v>602</c:v>
                </c:pt>
                <c:pt idx="19">
                  <c:v>601</c:v>
                </c:pt>
                <c:pt idx="20">
                  <c:v>602</c:v>
                </c:pt>
                <c:pt idx="21">
                  <c:v>602</c:v>
                </c:pt>
                <c:pt idx="22">
                  <c:v>603</c:v>
                </c:pt>
                <c:pt idx="23">
                  <c:v>603</c:v>
                </c:pt>
                <c:pt idx="24">
                  <c:v>603</c:v>
                </c:pt>
                <c:pt idx="25">
                  <c:v>604</c:v>
                </c:pt>
                <c:pt idx="26">
                  <c:v>603</c:v>
                </c:pt>
                <c:pt idx="27">
                  <c:v>604</c:v>
                </c:pt>
                <c:pt idx="28">
                  <c:v>603</c:v>
                </c:pt>
                <c:pt idx="29">
                  <c:v>603</c:v>
                </c:pt>
                <c:pt idx="30">
                  <c:v>604</c:v>
                </c:pt>
                <c:pt idx="31">
                  <c:v>603</c:v>
                </c:pt>
                <c:pt idx="32">
                  <c:v>604</c:v>
                </c:pt>
                <c:pt idx="33">
                  <c:v>605</c:v>
                </c:pt>
                <c:pt idx="34">
                  <c:v>605</c:v>
                </c:pt>
                <c:pt idx="35">
                  <c:v>604</c:v>
                </c:pt>
                <c:pt idx="36">
                  <c:v>605</c:v>
                </c:pt>
                <c:pt idx="37">
                  <c:v>604</c:v>
                </c:pt>
                <c:pt idx="38">
                  <c:v>605</c:v>
                </c:pt>
                <c:pt idx="39">
                  <c:v>605</c:v>
                </c:pt>
                <c:pt idx="40">
                  <c:v>605</c:v>
                </c:pt>
                <c:pt idx="41">
                  <c:v>605</c:v>
                </c:pt>
                <c:pt idx="42">
                  <c:v>605</c:v>
                </c:pt>
                <c:pt idx="43">
                  <c:v>605</c:v>
                </c:pt>
                <c:pt idx="44">
                  <c:v>605</c:v>
                </c:pt>
                <c:pt idx="45">
                  <c:v>605</c:v>
                </c:pt>
                <c:pt idx="46">
                  <c:v>586</c:v>
                </c:pt>
                <c:pt idx="47">
                  <c:v>604</c:v>
                </c:pt>
                <c:pt idx="48">
                  <c:v>604</c:v>
                </c:pt>
                <c:pt idx="49">
                  <c:v>603</c:v>
                </c:pt>
                <c:pt idx="50">
                  <c:v>602</c:v>
                </c:pt>
                <c:pt idx="51">
                  <c:v>602</c:v>
                </c:pt>
                <c:pt idx="52">
                  <c:v>602</c:v>
                </c:pt>
                <c:pt idx="53">
                  <c:v>601</c:v>
                </c:pt>
                <c:pt idx="54">
                  <c:v>603</c:v>
                </c:pt>
                <c:pt idx="55">
                  <c:v>604</c:v>
                </c:pt>
                <c:pt idx="56">
                  <c:v>605</c:v>
                </c:pt>
                <c:pt idx="57">
                  <c:v>604</c:v>
                </c:pt>
                <c:pt idx="58">
                  <c:v>606</c:v>
                </c:pt>
                <c:pt idx="59">
                  <c:v>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9E-4CDF-9888-6EE03DC1D4C2}"/>
            </c:ext>
          </c:extLst>
        </c:ser>
        <c:ser>
          <c:idx val="2"/>
          <c:order val="2"/>
          <c:tx>
            <c:v>Raph's Meter SS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Sheet1!$AS$5:$AS$64</c:f>
              <c:numCache>
                <c:formatCode>#,##0</c:formatCode>
                <c:ptCount val="60"/>
                <c:pt idx="0">
                  <c:v>620</c:v>
                </c:pt>
                <c:pt idx="1">
                  <c:v>630</c:v>
                </c:pt>
                <c:pt idx="2">
                  <c:v>623</c:v>
                </c:pt>
                <c:pt idx="3">
                  <c:v>621</c:v>
                </c:pt>
                <c:pt idx="4">
                  <c:v>620</c:v>
                </c:pt>
                <c:pt idx="5">
                  <c:v>619</c:v>
                </c:pt>
                <c:pt idx="6">
                  <c:v>619</c:v>
                </c:pt>
                <c:pt idx="7">
                  <c:v>618</c:v>
                </c:pt>
                <c:pt idx="8">
                  <c:v>619</c:v>
                </c:pt>
                <c:pt idx="9">
                  <c:v>619</c:v>
                </c:pt>
                <c:pt idx="10">
                  <c:v>620</c:v>
                </c:pt>
                <c:pt idx="11">
                  <c:v>619</c:v>
                </c:pt>
                <c:pt idx="12">
                  <c:v>619</c:v>
                </c:pt>
                <c:pt idx="13">
                  <c:v>619</c:v>
                </c:pt>
                <c:pt idx="14">
                  <c:v>619</c:v>
                </c:pt>
                <c:pt idx="15">
                  <c:v>620</c:v>
                </c:pt>
                <c:pt idx="16">
                  <c:v>619</c:v>
                </c:pt>
                <c:pt idx="17">
                  <c:v>620</c:v>
                </c:pt>
                <c:pt idx="18">
                  <c:v>621</c:v>
                </c:pt>
                <c:pt idx="19">
                  <c:v>620</c:v>
                </c:pt>
                <c:pt idx="20">
                  <c:v>621</c:v>
                </c:pt>
                <c:pt idx="21">
                  <c:v>621</c:v>
                </c:pt>
                <c:pt idx="22">
                  <c:v>622</c:v>
                </c:pt>
                <c:pt idx="23">
                  <c:v>623</c:v>
                </c:pt>
                <c:pt idx="24">
                  <c:v>623</c:v>
                </c:pt>
                <c:pt idx="25">
                  <c:v>623</c:v>
                </c:pt>
                <c:pt idx="26">
                  <c:v>623</c:v>
                </c:pt>
                <c:pt idx="27">
                  <c:v>622</c:v>
                </c:pt>
                <c:pt idx="28">
                  <c:v>621</c:v>
                </c:pt>
                <c:pt idx="29">
                  <c:v>622</c:v>
                </c:pt>
                <c:pt idx="30">
                  <c:v>622</c:v>
                </c:pt>
                <c:pt idx="31">
                  <c:v>622</c:v>
                </c:pt>
                <c:pt idx="32">
                  <c:v>623</c:v>
                </c:pt>
                <c:pt idx="33">
                  <c:v>624</c:v>
                </c:pt>
                <c:pt idx="34">
                  <c:v>624</c:v>
                </c:pt>
                <c:pt idx="35">
                  <c:v>624</c:v>
                </c:pt>
                <c:pt idx="36">
                  <c:v>624</c:v>
                </c:pt>
                <c:pt idx="37">
                  <c:v>624</c:v>
                </c:pt>
                <c:pt idx="38">
                  <c:v>625</c:v>
                </c:pt>
                <c:pt idx="39">
                  <c:v>624</c:v>
                </c:pt>
                <c:pt idx="40">
                  <c:v>625</c:v>
                </c:pt>
                <c:pt idx="41">
                  <c:v>626</c:v>
                </c:pt>
                <c:pt idx="42">
                  <c:v>629</c:v>
                </c:pt>
                <c:pt idx="43">
                  <c:v>626</c:v>
                </c:pt>
                <c:pt idx="44">
                  <c:v>625</c:v>
                </c:pt>
                <c:pt idx="45">
                  <c:v>625</c:v>
                </c:pt>
                <c:pt idx="46">
                  <c:v>622</c:v>
                </c:pt>
                <c:pt idx="47">
                  <c:v>623</c:v>
                </c:pt>
                <c:pt idx="48">
                  <c:v>623</c:v>
                </c:pt>
                <c:pt idx="49">
                  <c:v>622</c:v>
                </c:pt>
                <c:pt idx="50">
                  <c:v>621</c:v>
                </c:pt>
                <c:pt idx="51">
                  <c:v>621</c:v>
                </c:pt>
                <c:pt idx="52">
                  <c:v>620</c:v>
                </c:pt>
                <c:pt idx="53">
                  <c:v>620</c:v>
                </c:pt>
                <c:pt idx="54">
                  <c:v>620</c:v>
                </c:pt>
                <c:pt idx="55">
                  <c:v>621</c:v>
                </c:pt>
                <c:pt idx="56">
                  <c:v>622</c:v>
                </c:pt>
                <c:pt idx="57">
                  <c:v>621</c:v>
                </c:pt>
                <c:pt idx="58">
                  <c:v>623</c:v>
                </c:pt>
                <c:pt idx="59">
                  <c:v>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9E-4CDF-9888-6EE03DC1D4C2}"/>
            </c:ext>
          </c:extLst>
        </c:ser>
        <c:ser>
          <c:idx val="3"/>
          <c:order val="3"/>
          <c:tx>
            <c:v>Actual SS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Sheet1!$AT$5:$AT$64</c:f>
              <c:numCache>
                <c:formatCode>General</c:formatCode>
                <c:ptCount val="60"/>
                <c:pt idx="0">
                  <c:v>618</c:v>
                </c:pt>
                <c:pt idx="1">
                  <c:v>628</c:v>
                </c:pt>
                <c:pt idx="2">
                  <c:v>621</c:v>
                </c:pt>
                <c:pt idx="3">
                  <c:v>619</c:v>
                </c:pt>
                <c:pt idx="4">
                  <c:v>618</c:v>
                </c:pt>
                <c:pt idx="5">
                  <c:v>617</c:v>
                </c:pt>
                <c:pt idx="6">
                  <c:v>617</c:v>
                </c:pt>
                <c:pt idx="7">
                  <c:v>616</c:v>
                </c:pt>
                <c:pt idx="8">
                  <c:v>617</c:v>
                </c:pt>
                <c:pt idx="9">
                  <c:v>617</c:v>
                </c:pt>
                <c:pt idx="10">
                  <c:v>618</c:v>
                </c:pt>
                <c:pt idx="11">
                  <c:v>617</c:v>
                </c:pt>
                <c:pt idx="12">
                  <c:v>617</c:v>
                </c:pt>
                <c:pt idx="13">
                  <c:v>617</c:v>
                </c:pt>
                <c:pt idx="14">
                  <c:v>617</c:v>
                </c:pt>
                <c:pt idx="15">
                  <c:v>617</c:v>
                </c:pt>
                <c:pt idx="16">
                  <c:v>617</c:v>
                </c:pt>
                <c:pt idx="17">
                  <c:v>617</c:v>
                </c:pt>
                <c:pt idx="18">
                  <c:v>617</c:v>
                </c:pt>
                <c:pt idx="19">
                  <c:v>617</c:v>
                </c:pt>
                <c:pt idx="20">
                  <c:v>619</c:v>
                </c:pt>
                <c:pt idx="21">
                  <c:v>619</c:v>
                </c:pt>
                <c:pt idx="22">
                  <c:v>620</c:v>
                </c:pt>
                <c:pt idx="23">
                  <c:v>621</c:v>
                </c:pt>
                <c:pt idx="24">
                  <c:v>621</c:v>
                </c:pt>
                <c:pt idx="25">
                  <c:v>621</c:v>
                </c:pt>
                <c:pt idx="26">
                  <c:v>621</c:v>
                </c:pt>
                <c:pt idx="27">
                  <c:v>620</c:v>
                </c:pt>
                <c:pt idx="28">
                  <c:v>619</c:v>
                </c:pt>
                <c:pt idx="29">
                  <c:v>620</c:v>
                </c:pt>
                <c:pt idx="30">
                  <c:v>620</c:v>
                </c:pt>
                <c:pt idx="31">
                  <c:v>620</c:v>
                </c:pt>
                <c:pt idx="32">
                  <c:v>621</c:v>
                </c:pt>
                <c:pt idx="33">
                  <c:v>622</c:v>
                </c:pt>
                <c:pt idx="34">
                  <c:v>622</c:v>
                </c:pt>
                <c:pt idx="35">
                  <c:v>622</c:v>
                </c:pt>
                <c:pt idx="36">
                  <c:v>622</c:v>
                </c:pt>
                <c:pt idx="37">
                  <c:v>622</c:v>
                </c:pt>
                <c:pt idx="38">
                  <c:v>623</c:v>
                </c:pt>
                <c:pt idx="39">
                  <c:v>622</c:v>
                </c:pt>
                <c:pt idx="40">
                  <c:v>623</c:v>
                </c:pt>
                <c:pt idx="41">
                  <c:v>624</c:v>
                </c:pt>
                <c:pt idx="42">
                  <c:v>627</c:v>
                </c:pt>
                <c:pt idx="43">
                  <c:v>624</c:v>
                </c:pt>
                <c:pt idx="44">
                  <c:v>623</c:v>
                </c:pt>
                <c:pt idx="45">
                  <c:v>623</c:v>
                </c:pt>
                <c:pt idx="46">
                  <c:v>620</c:v>
                </c:pt>
                <c:pt idx="47">
                  <c:v>621</c:v>
                </c:pt>
                <c:pt idx="48">
                  <c:v>621</c:v>
                </c:pt>
                <c:pt idx="49">
                  <c:v>620</c:v>
                </c:pt>
                <c:pt idx="50">
                  <c:v>619</c:v>
                </c:pt>
                <c:pt idx="51">
                  <c:v>619</c:v>
                </c:pt>
                <c:pt idx="52">
                  <c:v>618</c:v>
                </c:pt>
                <c:pt idx="53">
                  <c:v>618</c:v>
                </c:pt>
                <c:pt idx="54">
                  <c:v>618</c:v>
                </c:pt>
                <c:pt idx="55">
                  <c:v>618</c:v>
                </c:pt>
                <c:pt idx="56">
                  <c:v>618</c:v>
                </c:pt>
                <c:pt idx="57">
                  <c:v>619</c:v>
                </c:pt>
                <c:pt idx="58">
                  <c:v>621</c:v>
                </c:pt>
                <c:pt idx="59">
                  <c:v>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9E-4CDF-9888-6EE03DC1D4C2}"/>
            </c:ext>
          </c:extLst>
        </c:ser>
        <c:ser>
          <c:idx val="4"/>
          <c:order val="4"/>
          <c:tx>
            <c:v>Raph's Meter ST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x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Sheet1!$AV$5:$AV$64</c:f>
              <c:numCache>
                <c:formatCode>General</c:formatCode>
                <c:ptCount val="60"/>
                <c:pt idx="0">
                  <c:v>642</c:v>
                </c:pt>
                <c:pt idx="1">
                  <c:v>642</c:v>
                </c:pt>
                <c:pt idx="2">
                  <c:v>642</c:v>
                </c:pt>
                <c:pt idx="3">
                  <c:v>639</c:v>
                </c:pt>
                <c:pt idx="4" formatCode="#,##0">
                  <c:v>639</c:v>
                </c:pt>
                <c:pt idx="5" formatCode="#,##0">
                  <c:v>638</c:v>
                </c:pt>
                <c:pt idx="6" formatCode="#,##0">
                  <c:v>637</c:v>
                </c:pt>
                <c:pt idx="7" formatCode="0">
                  <c:v>636</c:v>
                </c:pt>
                <c:pt idx="8" formatCode="#,##0">
                  <c:v>637</c:v>
                </c:pt>
                <c:pt idx="9" formatCode="#,##0">
                  <c:v>637</c:v>
                </c:pt>
                <c:pt idx="10" formatCode="#,##0">
                  <c:v>637</c:v>
                </c:pt>
                <c:pt idx="11" formatCode="#,##0">
                  <c:v>637</c:v>
                </c:pt>
                <c:pt idx="12">
                  <c:v>637</c:v>
                </c:pt>
                <c:pt idx="13">
                  <c:v>637</c:v>
                </c:pt>
                <c:pt idx="14">
                  <c:v>638</c:v>
                </c:pt>
                <c:pt idx="15" formatCode="#,##0">
                  <c:v>639</c:v>
                </c:pt>
                <c:pt idx="16" formatCode="#,##0">
                  <c:v>638</c:v>
                </c:pt>
                <c:pt idx="17" formatCode="#,##0">
                  <c:v>638</c:v>
                </c:pt>
                <c:pt idx="18" formatCode="#,##0">
                  <c:v>640</c:v>
                </c:pt>
                <c:pt idx="19" formatCode="#,##0">
                  <c:v>639</c:v>
                </c:pt>
                <c:pt idx="20" formatCode="#,##0">
                  <c:v>640</c:v>
                </c:pt>
                <c:pt idx="21" formatCode="#,##0">
                  <c:v>640</c:v>
                </c:pt>
                <c:pt idx="22" formatCode="#,##0">
                  <c:v>640</c:v>
                </c:pt>
                <c:pt idx="23" formatCode="#,##0">
                  <c:v>641</c:v>
                </c:pt>
                <c:pt idx="24" formatCode="#,##0">
                  <c:v>641</c:v>
                </c:pt>
                <c:pt idx="25" formatCode="#,##0">
                  <c:v>642</c:v>
                </c:pt>
                <c:pt idx="26" formatCode="#,##0">
                  <c:v>642</c:v>
                </c:pt>
                <c:pt idx="27" formatCode="#,##0">
                  <c:v>641</c:v>
                </c:pt>
                <c:pt idx="28" formatCode="#,##0">
                  <c:v>641</c:v>
                </c:pt>
                <c:pt idx="29" formatCode="#,##0">
                  <c:v>640</c:v>
                </c:pt>
                <c:pt idx="30" formatCode="#,##0">
                  <c:v>641</c:v>
                </c:pt>
                <c:pt idx="31" formatCode="#,##0">
                  <c:v>640</c:v>
                </c:pt>
                <c:pt idx="32" formatCode="#,##0">
                  <c:v>640</c:v>
                </c:pt>
                <c:pt idx="33" formatCode="#,##0">
                  <c:v>642</c:v>
                </c:pt>
                <c:pt idx="34" formatCode="#,##0">
                  <c:v>642</c:v>
                </c:pt>
                <c:pt idx="35" formatCode="#,##0">
                  <c:v>642</c:v>
                </c:pt>
                <c:pt idx="36" formatCode="#,##0">
                  <c:v>643</c:v>
                </c:pt>
                <c:pt idx="37" formatCode="#,##0">
                  <c:v>643</c:v>
                </c:pt>
                <c:pt idx="38" formatCode="#,##0">
                  <c:v>643</c:v>
                </c:pt>
                <c:pt idx="39" formatCode="#,##0">
                  <c:v>643</c:v>
                </c:pt>
                <c:pt idx="40" formatCode="#,##0">
                  <c:v>643</c:v>
                </c:pt>
                <c:pt idx="41">
                  <c:v>645</c:v>
                </c:pt>
                <c:pt idx="42">
                  <c:v>649</c:v>
                </c:pt>
                <c:pt idx="43">
                  <c:v>647</c:v>
                </c:pt>
                <c:pt idx="44">
                  <c:v>644</c:v>
                </c:pt>
                <c:pt idx="45">
                  <c:v>643</c:v>
                </c:pt>
                <c:pt idx="46">
                  <c:v>640</c:v>
                </c:pt>
                <c:pt idx="47">
                  <c:v>641</c:v>
                </c:pt>
                <c:pt idx="48">
                  <c:v>641</c:v>
                </c:pt>
                <c:pt idx="49">
                  <c:v>641</c:v>
                </c:pt>
                <c:pt idx="50">
                  <c:v>639</c:v>
                </c:pt>
                <c:pt idx="51">
                  <c:v>639</c:v>
                </c:pt>
                <c:pt idx="52">
                  <c:v>639</c:v>
                </c:pt>
                <c:pt idx="53">
                  <c:v>638</c:v>
                </c:pt>
                <c:pt idx="54">
                  <c:v>640</c:v>
                </c:pt>
                <c:pt idx="55">
                  <c:v>641</c:v>
                </c:pt>
                <c:pt idx="56">
                  <c:v>642</c:v>
                </c:pt>
                <c:pt idx="57">
                  <c:v>640</c:v>
                </c:pt>
                <c:pt idx="58">
                  <c:v>641</c:v>
                </c:pt>
                <c:pt idx="59">
                  <c:v>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9E-4CDF-9888-6EE03DC1D4C2}"/>
            </c:ext>
          </c:extLst>
        </c:ser>
        <c:ser>
          <c:idx val="5"/>
          <c:order val="5"/>
          <c:tx>
            <c:v>Actual ST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diamond"/>
            <c:size val="3"/>
            <c:spPr>
              <a:solidFill>
                <a:schemeClr val="accent6"/>
              </a:solidFill>
              <a:ln w="6350">
                <a:solidFill>
                  <a:schemeClr val="accent6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Sheet1!$AW$5:$AW$64</c:f>
              <c:numCache>
                <c:formatCode>#,##0</c:formatCode>
                <c:ptCount val="60"/>
                <c:pt idx="0">
                  <c:v>640</c:v>
                </c:pt>
                <c:pt idx="1">
                  <c:v>640</c:v>
                </c:pt>
                <c:pt idx="2">
                  <c:v>640</c:v>
                </c:pt>
                <c:pt idx="3">
                  <c:v>637</c:v>
                </c:pt>
                <c:pt idx="4">
                  <c:v>637</c:v>
                </c:pt>
                <c:pt idx="5">
                  <c:v>636</c:v>
                </c:pt>
                <c:pt idx="6">
                  <c:v>635</c:v>
                </c:pt>
                <c:pt idx="7">
                  <c:v>634</c:v>
                </c:pt>
                <c:pt idx="8">
                  <c:v>635</c:v>
                </c:pt>
                <c:pt idx="9">
                  <c:v>635</c:v>
                </c:pt>
                <c:pt idx="10">
                  <c:v>635</c:v>
                </c:pt>
                <c:pt idx="11">
                  <c:v>635</c:v>
                </c:pt>
                <c:pt idx="12">
                  <c:v>635</c:v>
                </c:pt>
                <c:pt idx="13">
                  <c:v>635</c:v>
                </c:pt>
                <c:pt idx="14">
                  <c:v>636</c:v>
                </c:pt>
                <c:pt idx="15">
                  <c:v>637</c:v>
                </c:pt>
                <c:pt idx="16">
                  <c:v>636</c:v>
                </c:pt>
                <c:pt idx="17">
                  <c:v>636</c:v>
                </c:pt>
                <c:pt idx="18">
                  <c:v>638</c:v>
                </c:pt>
                <c:pt idx="19">
                  <c:v>637</c:v>
                </c:pt>
                <c:pt idx="20">
                  <c:v>638</c:v>
                </c:pt>
                <c:pt idx="21">
                  <c:v>638</c:v>
                </c:pt>
                <c:pt idx="22">
                  <c:v>638</c:v>
                </c:pt>
                <c:pt idx="23">
                  <c:v>639</c:v>
                </c:pt>
                <c:pt idx="24">
                  <c:v>639</c:v>
                </c:pt>
                <c:pt idx="25">
                  <c:v>640</c:v>
                </c:pt>
                <c:pt idx="26">
                  <c:v>640</c:v>
                </c:pt>
                <c:pt idx="27">
                  <c:v>639</c:v>
                </c:pt>
                <c:pt idx="28">
                  <c:v>639</c:v>
                </c:pt>
                <c:pt idx="29">
                  <c:v>638</c:v>
                </c:pt>
                <c:pt idx="30">
                  <c:v>639</c:v>
                </c:pt>
                <c:pt idx="31">
                  <c:v>638</c:v>
                </c:pt>
                <c:pt idx="32">
                  <c:v>638</c:v>
                </c:pt>
                <c:pt idx="33">
                  <c:v>640</c:v>
                </c:pt>
                <c:pt idx="34">
                  <c:v>640</c:v>
                </c:pt>
                <c:pt idx="35">
                  <c:v>640</c:v>
                </c:pt>
                <c:pt idx="36">
                  <c:v>641</c:v>
                </c:pt>
                <c:pt idx="37">
                  <c:v>641</c:v>
                </c:pt>
                <c:pt idx="38">
                  <c:v>641</c:v>
                </c:pt>
                <c:pt idx="39">
                  <c:v>641</c:v>
                </c:pt>
                <c:pt idx="40">
                  <c:v>641</c:v>
                </c:pt>
                <c:pt idx="41">
                  <c:v>643</c:v>
                </c:pt>
                <c:pt idx="42">
                  <c:v>647</c:v>
                </c:pt>
                <c:pt idx="43">
                  <c:v>645</c:v>
                </c:pt>
                <c:pt idx="44">
                  <c:v>642</c:v>
                </c:pt>
                <c:pt idx="45">
                  <c:v>641</c:v>
                </c:pt>
                <c:pt idx="46">
                  <c:v>638</c:v>
                </c:pt>
                <c:pt idx="47">
                  <c:v>639</c:v>
                </c:pt>
                <c:pt idx="48">
                  <c:v>639</c:v>
                </c:pt>
                <c:pt idx="49">
                  <c:v>639</c:v>
                </c:pt>
                <c:pt idx="50">
                  <c:v>637</c:v>
                </c:pt>
                <c:pt idx="51">
                  <c:v>637</c:v>
                </c:pt>
                <c:pt idx="52">
                  <c:v>637</c:v>
                </c:pt>
                <c:pt idx="53">
                  <c:v>636</c:v>
                </c:pt>
                <c:pt idx="54">
                  <c:v>638</c:v>
                </c:pt>
                <c:pt idx="55">
                  <c:v>639</c:v>
                </c:pt>
                <c:pt idx="56">
                  <c:v>640</c:v>
                </c:pt>
                <c:pt idx="57">
                  <c:v>638</c:v>
                </c:pt>
                <c:pt idx="58">
                  <c:v>639</c:v>
                </c:pt>
                <c:pt idx="59">
                  <c:v>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9E-4CDF-9888-6EE03DC1D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650"/>
          <c:min val="58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Semu (VA)</a:t>
                </a:r>
              </a:p>
            </c:rich>
          </c:tx>
          <c:layout>
            <c:manualLayout>
              <c:xMode val="edge"/>
              <c:yMode val="edge"/>
              <c:x val="9.698565561806767E-3"/>
              <c:y val="0.33806491113506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#,##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8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534972249924312"/>
          <c:y val="0.68721055194352509"/>
          <c:w val="0.41016258784102905"/>
          <c:h val="0.12722767559325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7.6436471705628228E-2"/>
          <c:w val="0.86287504741784027"/>
          <c:h val="0.74595054995557464"/>
        </c:manualLayout>
      </c:layout>
      <c:scatterChart>
        <c:scatterStyle val="smoothMarker"/>
        <c:varyColors val="0"/>
        <c:ser>
          <c:idx val="0"/>
          <c:order val="0"/>
          <c:tx>
            <c:v>Raph's Meter QR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Sheet1!$AY$5:$AY$64</c:f>
              <c:numCache>
                <c:formatCode>0</c:formatCode>
                <c:ptCount val="60"/>
                <c:pt idx="0">
                  <c:v>561</c:v>
                </c:pt>
                <c:pt idx="1">
                  <c:v>561</c:v>
                </c:pt>
                <c:pt idx="2">
                  <c:v>561</c:v>
                </c:pt>
                <c:pt idx="3">
                  <c:v>561</c:v>
                </c:pt>
                <c:pt idx="4">
                  <c:v>560</c:v>
                </c:pt>
                <c:pt idx="5">
                  <c:v>560</c:v>
                </c:pt>
                <c:pt idx="6">
                  <c:v>560</c:v>
                </c:pt>
                <c:pt idx="7">
                  <c:v>559</c:v>
                </c:pt>
                <c:pt idx="8">
                  <c:v>560</c:v>
                </c:pt>
                <c:pt idx="9">
                  <c:v>560</c:v>
                </c:pt>
                <c:pt idx="10">
                  <c:v>561</c:v>
                </c:pt>
                <c:pt idx="11">
                  <c:v>561</c:v>
                </c:pt>
                <c:pt idx="12">
                  <c:v>560</c:v>
                </c:pt>
                <c:pt idx="13">
                  <c:v>561</c:v>
                </c:pt>
                <c:pt idx="14">
                  <c:v>561</c:v>
                </c:pt>
                <c:pt idx="15">
                  <c:v>561</c:v>
                </c:pt>
                <c:pt idx="16">
                  <c:v>560</c:v>
                </c:pt>
                <c:pt idx="17">
                  <c:v>561</c:v>
                </c:pt>
                <c:pt idx="18">
                  <c:v>563</c:v>
                </c:pt>
                <c:pt idx="19">
                  <c:v>561</c:v>
                </c:pt>
                <c:pt idx="20">
                  <c:v>562</c:v>
                </c:pt>
                <c:pt idx="21">
                  <c:v>562</c:v>
                </c:pt>
                <c:pt idx="22">
                  <c:v>562</c:v>
                </c:pt>
                <c:pt idx="23">
                  <c:v>563</c:v>
                </c:pt>
                <c:pt idx="24">
                  <c:v>562</c:v>
                </c:pt>
                <c:pt idx="25">
                  <c:v>563</c:v>
                </c:pt>
                <c:pt idx="26">
                  <c:v>562</c:v>
                </c:pt>
                <c:pt idx="27">
                  <c:v>563</c:v>
                </c:pt>
                <c:pt idx="28">
                  <c:v>562</c:v>
                </c:pt>
                <c:pt idx="29">
                  <c:v>562</c:v>
                </c:pt>
                <c:pt idx="30">
                  <c:v>562</c:v>
                </c:pt>
                <c:pt idx="31">
                  <c:v>562</c:v>
                </c:pt>
                <c:pt idx="32">
                  <c:v>563</c:v>
                </c:pt>
                <c:pt idx="33">
                  <c:v>563</c:v>
                </c:pt>
                <c:pt idx="34">
                  <c:v>563</c:v>
                </c:pt>
                <c:pt idx="35">
                  <c:v>563</c:v>
                </c:pt>
                <c:pt idx="36">
                  <c:v>563</c:v>
                </c:pt>
                <c:pt idx="37">
                  <c:v>562</c:v>
                </c:pt>
                <c:pt idx="38">
                  <c:v>562</c:v>
                </c:pt>
                <c:pt idx="39">
                  <c:v>562</c:v>
                </c:pt>
                <c:pt idx="40">
                  <c:v>561</c:v>
                </c:pt>
                <c:pt idx="41">
                  <c:v>561</c:v>
                </c:pt>
                <c:pt idx="42">
                  <c:v>561</c:v>
                </c:pt>
                <c:pt idx="43">
                  <c:v>561</c:v>
                </c:pt>
                <c:pt idx="44">
                  <c:v>561</c:v>
                </c:pt>
                <c:pt idx="45">
                  <c:v>563</c:v>
                </c:pt>
                <c:pt idx="46">
                  <c:v>545</c:v>
                </c:pt>
                <c:pt idx="47">
                  <c:v>561</c:v>
                </c:pt>
                <c:pt idx="48">
                  <c:v>561</c:v>
                </c:pt>
                <c:pt idx="49">
                  <c:v>561</c:v>
                </c:pt>
                <c:pt idx="50">
                  <c:v>561</c:v>
                </c:pt>
                <c:pt idx="51">
                  <c:v>560</c:v>
                </c:pt>
                <c:pt idx="52">
                  <c:v>560</c:v>
                </c:pt>
                <c:pt idx="53">
                  <c:v>560</c:v>
                </c:pt>
                <c:pt idx="54">
                  <c:v>561</c:v>
                </c:pt>
                <c:pt idx="55">
                  <c:v>562</c:v>
                </c:pt>
                <c:pt idx="56">
                  <c:v>563</c:v>
                </c:pt>
                <c:pt idx="57">
                  <c:v>562</c:v>
                </c:pt>
                <c:pt idx="58">
                  <c:v>564</c:v>
                </c:pt>
                <c:pt idx="59">
                  <c:v>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06-4028-BE8B-72D26AEB6247}"/>
            </c:ext>
          </c:extLst>
        </c:ser>
        <c:ser>
          <c:idx val="1"/>
          <c:order val="1"/>
          <c:tx>
            <c:v>Actual QR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Sheet1!$AZ$5:$AZ$64</c:f>
              <c:numCache>
                <c:formatCode>#,##0</c:formatCode>
                <c:ptCount val="60"/>
                <c:pt idx="0">
                  <c:v>559</c:v>
                </c:pt>
                <c:pt idx="1">
                  <c:v>559</c:v>
                </c:pt>
                <c:pt idx="2">
                  <c:v>559</c:v>
                </c:pt>
                <c:pt idx="3">
                  <c:v>559</c:v>
                </c:pt>
                <c:pt idx="4">
                  <c:v>558</c:v>
                </c:pt>
                <c:pt idx="5">
                  <c:v>558</c:v>
                </c:pt>
                <c:pt idx="6">
                  <c:v>558</c:v>
                </c:pt>
                <c:pt idx="7">
                  <c:v>557</c:v>
                </c:pt>
                <c:pt idx="8">
                  <c:v>558</c:v>
                </c:pt>
                <c:pt idx="9">
                  <c:v>558</c:v>
                </c:pt>
                <c:pt idx="10">
                  <c:v>559</c:v>
                </c:pt>
                <c:pt idx="11">
                  <c:v>559</c:v>
                </c:pt>
                <c:pt idx="12">
                  <c:v>558</c:v>
                </c:pt>
                <c:pt idx="13">
                  <c:v>559</c:v>
                </c:pt>
                <c:pt idx="14">
                  <c:v>559</c:v>
                </c:pt>
                <c:pt idx="15">
                  <c:v>559</c:v>
                </c:pt>
                <c:pt idx="16">
                  <c:v>558</c:v>
                </c:pt>
                <c:pt idx="17">
                  <c:v>559</c:v>
                </c:pt>
                <c:pt idx="18">
                  <c:v>561</c:v>
                </c:pt>
                <c:pt idx="19">
                  <c:v>559</c:v>
                </c:pt>
                <c:pt idx="20">
                  <c:v>560</c:v>
                </c:pt>
                <c:pt idx="21">
                  <c:v>560</c:v>
                </c:pt>
                <c:pt idx="22">
                  <c:v>560</c:v>
                </c:pt>
                <c:pt idx="23">
                  <c:v>561</c:v>
                </c:pt>
                <c:pt idx="24">
                  <c:v>560</c:v>
                </c:pt>
                <c:pt idx="25">
                  <c:v>561</c:v>
                </c:pt>
                <c:pt idx="26">
                  <c:v>560</c:v>
                </c:pt>
                <c:pt idx="27">
                  <c:v>561</c:v>
                </c:pt>
                <c:pt idx="28">
                  <c:v>560</c:v>
                </c:pt>
                <c:pt idx="29">
                  <c:v>560</c:v>
                </c:pt>
                <c:pt idx="30">
                  <c:v>560</c:v>
                </c:pt>
                <c:pt idx="31">
                  <c:v>560</c:v>
                </c:pt>
                <c:pt idx="32">
                  <c:v>561</c:v>
                </c:pt>
                <c:pt idx="33">
                  <c:v>561</c:v>
                </c:pt>
                <c:pt idx="34">
                  <c:v>561</c:v>
                </c:pt>
                <c:pt idx="35">
                  <c:v>561</c:v>
                </c:pt>
                <c:pt idx="36">
                  <c:v>561</c:v>
                </c:pt>
                <c:pt idx="37">
                  <c:v>560</c:v>
                </c:pt>
                <c:pt idx="38">
                  <c:v>560</c:v>
                </c:pt>
                <c:pt idx="39">
                  <c:v>560</c:v>
                </c:pt>
                <c:pt idx="40">
                  <c:v>559</c:v>
                </c:pt>
                <c:pt idx="41">
                  <c:v>559</c:v>
                </c:pt>
                <c:pt idx="42">
                  <c:v>559</c:v>
                </c:pt>
                <c:pt idx="43">
                  <c:v>559</c:v>
                </c:pt>
                <c:pt idx="44">
                  <c:v>559</c:v>
                </c:pt>
                <c:pt idx="45">
                  <c:v>561</c:v>
                </c:pt>
                <c:pt idx="46">
                  <c:v>543</c:v>
                </c:pt>
                <c:pt idx="47">
                  <c:v>559</c:v>
                </c:pt>
                <c:pt idx="48">
                  <c:v>559</c:v>
                </c:pt>
                <c:pt idx="49">
                  <c:v>559</c:v>
                </c:pt>
                <c:pt idx="50">
                  <c:v>559</c:v>
                </c:pt>
                <c:pt idx="51">
                  <c:v>558</c:v>
                </c:pt>
                <c:pt idx="52">
                  <c:v>558</c:v>
                </c:pt>
                <c:pt idx="53">
                  <c:v>558</c:v>
                </c:pt>
                <c:pt idx="54">
                  <c:v>559</c:v>
                </c:pt>
                <c:pt idx="55">
                  <c:v>560</c:v>
                </c:pt>
                <c:pt idx="56" formatCode="General">
                  <c:v>561</c:v>
                </c:pt>
                <c:pt idx="57" formatCode="General">
                  <c:v>560</c:v>
                </c:pt>
                <c:pt idx="58" formatCode="General">
                  <c:v>562</c:v>
                </c:pt>
                <c:pt idx="59">
                  <c:v>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06-4028-BE8B-72D26AEB6247}"/>
            </c:ext>
          </c:extLst>
        </c:ser>
        <c:ser>
          <c:idx val="2"/>
          <c:order val="2"/>
          <c:tx>
            <c:v>Raph's Meter QS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Sheet1!$BB$5:$BB$64</c:f>
              <c:numCache>
                <c:formatCode>#,##0</c:formatCode>
                <c:ptCount val="60"/>
                <c:pt idx="0">
                  <c:v>564</c:v>
                </c:pt>
                <c:pt idx="1">
                  <c:v>564</c:v>
                </c:pt>
                <c:pt idx="2">
                  <c:v>564</c:v>
                </c:pt>
                <c:pt idx="3">
                  <c:v>565</c:v>
                </c:pt>
                <c:pt idx="4">
                  <c:v>564</c:v>
                </c:pt>
                <c:pt idx="5">
                  <c:v>564</c:v>
                </c:pt>
                <c:pt idx="6">
                  <c:v>564</c:v>
                </c:pt>
                <c:pt idx="7">
                  <c:v>563</c:v>
                </c:pt>
                <c:pt idx="8">
                  <c:v>564</c:v>
                </c:pt>
                <c:pt idx="9">
                  <c:v>564</c:v>
                </c:pt>
                <c:pt idx="10">
                  <c:v>565</c:v>
                </c:pt>
                <c:pt idx="11">
                  <c:v>565</c:v>
                </c:pt>
                <c:pt idx="12">
                  <c:v>564</c:v>
                </c:pt>
                <c:pt idx="13">
                  <c:v>565</c:v>
                </c:pt>
                <c:pt idx="14">
                  <c:v>565</c:v>
                </c:pt>
                <c:pt idx="15">
                  <c:v>565</c:v>
                </c:pt>
                <c:pt idx="16">
                  <c:v>564</c:v>
                </c:pt>
                <c:pt idx="17">
                  <c:v>565</c:v>
                </c:pt>
                <c:pt idx="18">
                  <c:v>566</c:v>
                </c:pt>
                <c:pt idx="19">
                  <c:v>565</c:v>
                </c:pt>
                <c:pt idx="20">
                  <c:v>566</c:v>
                </c:pt>
                <c:pt idx="21">
                  <c:v>565</c:v>
                </c:pt>
                <c:pt idx="22">
                  <c:v>566</c:v>
                </c:pt>
                <c:pt idx="23">
                  <c:v>566</c:v>
                </c:pt>
                <c:pt idx="24">
                  <c:v>566</c:v>
                </c:pt>
                <c:pt idx="25">
                  <c:v>567</c:v>
                </c:pt>
                <c:pt idx="26">
                  <c:v>566</c:v>
                </c:pt>
                <c:pt idx="27">
                  <c:v>566</c:v>
                </c:pt>
                <c:pt idx="28">
                  <c:v>565</c:v>
                </c:pt>
                <c:pt idx="29">
                  <c:v>565</c:v>
                </c:pt>
                <c:pt idx="30">
                  <c:v>566</c:v>
                </c:pt>
                <c:pt idx="31">
                  <c:v>566</c:v>
                </c:pt>
                <c:pt idx="32">
                  <c:v>566</c:v>
                </c:pt>
                <c:pt idx="33">
                  <c:v>567</c:v>
                </c:pt>
                <c:pt idx="34">
                  <c:v>567</c:v>
                </c:pt>
                <c:pt idx="35">
                  <c:v>566</c:v>
                </c:pt>
                <c:pt idx="36">
                  <c:v>567</c:v>
                </c:pt>
                <c:pt idx="37">
                  <c:v>565</c:v>
                </c:pt>
                <c:pt idx="38">
                  <c:v>566</c:v>
                </c:pt>
                <c:pt idx="39">
                  <c:v>565</c:v>
                </c:pt>
                <c:pt idx="40">
                  <c:v>565</c:v>
                </c:pt>
                <c:pt idx="41">
                  <c:v>565</c:v>
                </c:pt>
                <c:pt idx="42">
                  <c:v>565</c:v>
                </c:pt>
                <c:pt idx="43">
                  <c:v>565</c:v>
                </c:pt>
                <c:pt idx="44">
                  <c:v>565</c:v>
                </c:pt>
                <c:pt idx="45">
                  <c:v>566</c:v>
                </c:pt>
                <c:pt idx="46">
                  <c:v>564</c:v>
                </c:pt>
                <c:pt idx="47">
                  <c:v>565</c:v>
                </c:pt>
                <c:pt idx="48">
                  <c:v>565</c:v>
                </c:pt>
                <c:pt idx="49">
                  <c:v>564</c:v>
                </c:pt>
                <c:pt idx="50">
                  <c:v>564</c:v>
                </c:pt>
                <c:pt idx="51">
                  <c:v>563</c:v>
                </c:pt>
                <c:pt idx="52">
                  <c:v>563</c:v>
                </c:pt>
                <c:pt idx="53">
                  <c:v>563</c:v>
                </c:pt>
                <c:pt idx="54">
                  <c:v>563</c:v>
                </c:pt>
                <c:pt idx="55">
                  <c:v>564</c:v>
                </c:pt>
                <c:pt idx="56">
                  <c:v>565</c:v>
                </c:pt>
                <c:pt idx="57">
                  <c:v>564</c:v>
                </c:pt>
                <c:pt idx="58">
                  <c:v>566</c:v>
                </c:pt>
                <c:pt idx="59">
                  <c:v>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06-4028-BE8B-72D26AEB6247}"/>
            </c:ext>
          </c:extLst>
        </c:ser>
        <c:ser>
          <c:idx val="3"/>
          <c:order val="3"/>
          <c:tx>
            <c:v>Actual QS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Sheet1!$BC$5:$BC$64</c:f>
              <c:numCache>
                <c:formatCode>#,##0</c:formatCode>
                <c:ptCount val="60"/>
                <c:pt idx="0">
                  <c:v>562</c:v>
                </c:pt>
                <c:pt idx="1">
                  <c:v>562</c:v>
                </c:pt>
                <c:pt idx="2">
                  <c:v>562</c:v>
                </c:pt>
                <c:pt idx="3">
                  <c:v>563</c:v>
                </c:pt>
                <c:pt idx="4">
                  <c:v>562</c:v>
                </c:pt>
                <c:pt idx="5">
                  <c:v>562</c:v>
                </c:pt>
                <c:pt idx="6">
                  <c:v>562</c:v>
                </c:pt>
                <c:pt idx="7">
                  <c:v>561</c:v>
                </c:pt>
                <c:pt idx="8">
                  <c:v>562</c:v>
                </c:pt>
                <c:pt idx="9">
                  <c:v>562</c:v>
                </c:pt>
                <c:pt idx="10">
                  <c:v>563</c:v>
                </c:pt>
                <c:pt idx="11">
                  <c:v>563</c:v>
                </c:pt>
                <c:pt idx="12">
                  <c:v>562</c:v>
                </c:pt>
                <c:pt idx="13">
                  <c:v>563</c:v>
                </c:pt>
                <c:pt idx="14">
                  <c:v>563</c:v>
                </c:pt>
                <c:pt idx="15">
                  <c:v>563</c:v>
                </c:pt>
                <c:pt idx="16">
                  <c:v>562</c:v>
                </c:pt>
                <c:pt idx="17">
                  <c:v>563</c:v>
                </c:pt>
                <c:pt idx="18">
                  <c:v>564</c:v>
                </c:pt>
                <c:pt idx="19">
                  <c:v>563</c:v>
                </c:pt>
                <c:pt idx="20">
                  <c:v>564</c:v>
                </c:pt>
                <c:pt idx="21">
                  <c:v>563</c:v>
                </c:pt>
                <c:pt idx="22">
                  <c:v>564</c:v>
                </c:pt>
                <c:pt idx="23">
                  <c:v>564</c:v>
                </c:pt>
                <c:pt idx="24">
                  <c:v>564</c:v>
                </c:pt>
                <c:pt idx="25">
                  <c:v>565</c:v>
                </c:pt>
                <c:pt idx="26">
                  <c:v>564</c:v>
                </c:pt>
                <c:pt idx="27">
                  <c:v>564</c:v>
                </c:pt>
                <c:pt idx="28">
                  <c:v>563</c:v>
                </c:pt>
                <c:pt idx="29">
                  <c:v>563</c:v>
                </c:pt>
                <c:pt idx="30">
                  <c:v>564</c:v>
                </c:pt>
                <c:pt idx="31">
                  <c:v>564</c:v>
                </c:pt>
                <c:pt idx="32">
                  <c:v>564</c:v>
                </c:pt>
                <c:pt idx="33">
                  <c:v>565</c:v>
                </c:pt>
                <c:pt idx="34">
                  <c:v>565</c:v>
                </c:pt>
                <c:pt idx="35">
                  <c:v>564</c:v>
                </c:pt>
                <c:pt idx="36">
                  <c:v>565</c:v>
                </c:pt>
                <c:pt idx="37">
                  <c:v>563</c:v>
                </c:pt>
                <c:pt idx="38">
                  <c:v>564</c:v>
                </c:pt>
                <c:pt idx="39">
                  <c:v>563</c:v>
                </c:pt>
                <c:pt idx="40">
                  <c:v>563</c:v>
                </c:pt>
                <c:pt idx="41">
                  <c:v>563</c:v>
                </c:pt>
                <c:pt idx="42">
                  <c:v>563</c:v>
                </c:pt>
                <c:pt idx="43">
                  <c:v>563</c:v>
                </c:pt>
                <c:pt idx="44">
                  <c:v>563</c:v>
                </c:pt>
                <c:pt idx="45">
                  <c:v>564</c:v>
                </c:pt>
                <c:pt idx="46">
                  <c:v>562</c:v>
                </c:pt>
                <c:pt idx="47">
                  <c:v>563</c:v>
                </c:pt>
                <c:pt idx="48">
                  <c:v>563</c:v>
                </c:pt>
                <c:pt idx="49">
                  <c:v>562</c:v>
                </c:pt>
                <c:pt idx="50">
                  <c:v>562</c:v>
                </c:pt>
                <c:pt idx="51">
                  <c:v>561</c:v>
                </c:pt>
                <c:pt idx="52">
                  <c:v>561</c:v>
                </c:pt>
                <c:pt idx="53">
                  <c:v>561</c:v>
                </c:pt>
                <c:pt idx="54">
                  <c:v>561</c:v>
                </c:pt>
                <c:pt idx="55">
                  <c:v>562</c:v>
                </c:pt>
                <c:pt idx="56" formatCode="General">
                  <c:v>563</c:v>
                </c:pt>
                <c:pt idx="57" formatCode="General">
                  <c:v>562</c:v>
                </c:pt>
                <c:pt idx="58" formatCode="General">
                  <c:v>564</c:v>
                </c:pt>
                <c:pt idx="59">
                  <c:v>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06-4028-BE8B-72D26AEB6247}"/>
            </c:ext>
          </c:extLst>
        </c:ser>
        <c:ser>
          <c:idx val="4"/>
          <c:order val="4"/>
          <c:tx>
            <c:v>Raph's Meter QT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Sheet1!$BE$5:$BE$64</c:f>
              <c:numCache>
                <c:formatCode>#,##0</c:formatCode>
                <c:ptCount val="60"/>
                <c:pt idx="0">
                  <c:v>592</c:v>
                </c:pt>
                <c:pt idx="1">
                  <c:v>592</c:v>
                </c:pt>
                <c:pt idx="2">
                  <c:v>592</c:v>
                </c:pt>
                <c:pt idx="3">
                  <c:v>592</c:v>
                </c:pt>
                <c:pt idx="4">
                  <c:v>592</c:v>
                </c:pt>
                <c:pt idx="5">
                  <c:v>591</c:v>
                </c:pt>
                <c:pt idx="6">
                  <c:v>591</c:v>
                </c:pt>
                <c:pt idx="7">
                  <c:v>591</c:v>
                </c:pt>
                <c:pt idx="8">
                  <c:v>591</c:v>
                </c:pt>
                <c:pt idx="9">
                  <c:v>591</c:v>
                </c:pt>
                <c:pt idx="10">
                  <c:v>591</c:v>
                </c:pt>
                <c:pt idx="11">
                  <c:v>592</c:v>
                </c:pt>
                <c:pt idx="12">
                  <c:v>591</c:v>
                </c:pt>
                <c:pt idx="13">
                  <c:v>592</c:v>
                </c:pt>
                <c:pt idx="14">
                  <c:v>593</c:v>
                </c:pt>
                <c:pt idx="15">
                  <c:v>593</c:v>
                </c:pt>
                <c:pt idx="16">
                  <c:v>592</c:v>
                </c:pt>
                <c:pt idx="17">
                  <c:v>592</c:v>
                </c:pt>
                <c:pt idx="18">
                  <c:v>594</c:v>
                </c:pt>
                <c:pt idx="19">
                  <c:v>593</c:v>
                </c:pt>
                <c:pt idx="20">
                  <c:v>594</c:v>
                </c:pt>
                <c:pt idx="21">
                  <c:v>594</c:v>
                </c:pt>
                <c:pt idx="22">
                  <c:v>593</c:v>
                </c:pt>
                <c:pt idx="23">
                  <c:v>595</c:v>
                </c:pt>
                <c:pt idx="24">
                  <c:v>594</c:v>
                </c:pt>
                <c:pt idx="25">
                  <c:v>595</c:v>
                </c:pt>
                <c:pt idx="26">
                  <c:v>594</c:v>
                </c:pt>
                <c:pt idx="27">
                  <c:v>594</c:v>
                </c:pt>
                <c:pt idx="28">
                  <c:v>593</c:v>
                </c:pt>
                <c:pt idx="29">
                  <c:v>593</c:v>
                </c:pt>
                <c:pt idx="30">
                  <c:v>593</c:v>
                </c:pt>
                <c:pt idx="31">
                  <c:v>592</c:v>
                </c:pt>
                <c:pt idx="32">
                  <c:v>593</c:v>
                </c:pt>
                <c:pt idx="33">
                  <c:v>594</c:v>
                </c:pt>
                <c:pt idx="34">
                  <c:v>594</c:v>
                </c:pt>
                <c:pt idx="35">
                  <c:v>594</c:v>
                </c:pt>
                <c:pt idx="36">
                  <c:v>595</c:v>
                </c:pt>
                <c:pt idx="37">
                  <c:v>594</c:v>
                </c:pt>
                <c:pt idx="38">
                  <c:v>594</c:v>
                </c:pt>
                <c:pt idx="39">
                  <c:v>594</c:v>
                </c:pt>
                <c:pt idx="40">
                  <c:v>594</c:v>
                </c:pt>
                <c:pt idx="41">
                  <c:v>594</c:v>
                </c:pt>
                <c:pt idx="42">
                  <c:v>595</c:v>
                </c:pt>
                <c:pt idx="43">
                  <c:v>594</c:v>
                </c:pt>
                <c:pt idx="44">
                  <c:v>594</c:v>
                </c:pt>
                <c:pt idx="45">
                  <c:v>594</c:v>
                </c:pt>
                <c:pt idx="46">
                  <c:v>591</c:v>
                </c:pt>
                <c:pt idx="47">
                  <c:v>592</c:v>
                </c:pt>
                <c:pt idx="48">
                  <c:v>592</c:v>
                </c:pt>
                <c:pt idx="49">
                  <c:v>592</c:v>
                </c:pt>
                <c:pt idx="50">
                  <c:v>591</c:v>
                </c:pt>
                <c:pt idx="51">
                  <c:v>590</c:v>
                </c:pt>
                <c:pt idx="52">
                  <c:v>590</c:v>
                </c:pt>
                <c:pt idx="53">
                  <c:v>590</c:v>
                </c:pt>
                <c:pt idx="54">
                  <c:v>591</c:v>
                </c:pt>
                <c:pt idx="55">
                  <c:v>592</c:v>
                </c:pt>
                <c:pt idx="56">
                  <c:v>593</c:v>
                </c:pt>
                <c:pt idx="57">
                  <c:v>592</c:v>
                </c:pt>
                <c:pt idx="58">
                  <c:v>593</c:v>
                </c:pt>
                <c:pt idx="59">
                  <c:v>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06-4028-BE8B-72D26AEB6247}"/>
            </c:ext>
          </c:extLst>
        </c:ser>
        <c:ser>
          <c:idx val="5"/>
          <c:order val="5"/>
          <c:tx>
            <c:v>Actual QT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diamond"/>
            <c:size val="3"/>
            <c:spPr>
              <a:solidFill>
                <a:srgbClr val="00B050"/>
              </a:solidFill>
              <a:ln w="6350">
                <a:solidFill>
                  <a:srgbClr val="00B05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Sheet1!$BF$5:$BF$64</c:f>
              <c:numCache>
                <c:formatCode>#,##0</c:formatCode>
                <c:ptCount val="60"/>
                <c:pt idx="0">
                  <c:v>590</c:v>
                </c:pt>
                <c:pt idx="1">
                  <c:v>590</c:v>
                </c:pt>
                <c:pt idx="2">
                  <c:v>590</c:v>
                </c:pt>
                <c:pt idx="3">
                  <c:v>590</c:v>
                </c:pt>
                <c:pt idx="4">
                  <c:v>590</c:v>
                </c:pt>
                <c:pt idx="5">
                  <c:v>589</c:v>
                </c:pt>
                <c:pt idx="6">
                  <c:v>589</c:v>
                </c:pt>
                <c:pt idx="7">
                  <c:v>589</c:v>
                </c:pt>
                <c:pt idx="8">
                  <c:v>589</c:v>
                </c:pt>
                <c:pt idx="9">
                  <c:v>589</c:v>
                </c:pt>
                <c:pt idx="10">
                  <c:v>589</c:v>
                </c:pt>
                <c:pt idx="11">
                  <c:v>590</c:v>
                </c:pt>
                <c:pt idx="12">
                  <c:v>589</c:v>
                </c:pt>
                <c:pt idx="13">
                  <c:v>590</c:v>
                </c:pt>
                <c:pt idx="14">
                  <c:v>591</c:v>
                </c:pt>
                <c:pt idx="15">
                  <c:v>591</c:v>
                </c:pt>
                <c:pt idx="16">
                  <c:v>590</c:v>
                </c:pt>
                <c:pt idx="17">
                  <c:v>590</c:v>
                </c:pt>
                <c:pt idx="18">
                  <c:v>592</c:v>
                </c:pt>
                <c:pt idx="19">
                  <c:v>591</c:v>
                </c:pt>
                <c:pt idx="20">
                  <c:v>592</c:v>
                </c:pt>
                <c:pt idx="21">
                  <c:v>592</c:v>
                </c:pt>
                <c:pt idx="22">
                  <c:v>591</c:v>
                </c:pt>
                <c:pt idx="23">
                  <c:v>593</c:v>
                </c:pt>
                <c:pt idx="24">
                  <c:v>592</c:v>
                </c:pt>
                <c:pt idx="25">
                  <c:v>593</c:v>
                </c:pt>
                <c:pt idx="26">
                  <c:v>592</c:v>
                </c:pt>
                <c:pt idx="27">
                  <c:v>592</c:v>
                </c:pt>
                <c:pt idx="28">
                  <c:v>591</c:v>
                </c:pt>
                <c:pt idx="29">
                  <c:v>591</c:v>
                </c:pt>
                <c:pt idx="30">
                  <c:v>591</c:v>
                </c:pt>
                <c:pt idx="31">
                  <c:v>590</c:v>
                </c:pt>
                <c:pt idx="32">
                  <c:v>591</c:v>
                </c:pt>
                <c:pt idx="33">
                  <c:v>592</c:v>
                </c:pt>
                <c:pt idx="34">
                  <c:v>592</c:v>
                </c:pt>
                <c:pt idx="35">
                  <c:v>592</c:v>
                </c:pt>
                <c:pt idx="36">
                  <c:v>593</c:v>
                </c:pt>
                <c:pt idx="37">
                  <c:v>592</c:v>
                </c:pt>
                <c:pt idx="38">
                  <c:v>592</c:v>
                </c:pt>
                <c:pt idx="39">
                  <c:v>592</c:v>
                </c:pt>
                <c:pt idx="40">
                  <c:v>592</c:v>
                </c:pt>
                <c:pt idx="41">
                  <c:v>592</c:v>
                </c:pt>
                <c:pt idx="42">
                  <c:v>593</c:v>
                </c:pt>
                <c:pt idx="43">
                  <c:v>592</c:v>
                </c:pt>
                <c:pt idx="44">
                  <c:v>592</c:v>
                </c:pt>
                <c:pt idx="45">
                  <c:v>592</c:v>
                </c:pt>
                <c:pt idx="46">
                  <c:v>589</c:v>
                </c:pt>
                <c:pt idx="47">
                  <c:v>590</c:v>
                </c:pt>
                <c:pt idx="48">
                  <c:v>590</c:v>
                </c:pt>
                <c:pt idx="49">
                  <c:v>590</c:v>
                </c:pt>
                <c:pt idx="50">
                  <c:v>589</c:v>
                </c:pt>
                <c:pt idx="51">
                  <c:v>590</c:v>
                </c:pt>
                <c:pt idx="52">
                  <c:v>590</c:v>
                </c:pt>
                <c:pt idx="53">
                  <c:v>590</c:v>
                </c:pt>
                <c:pt idx="54">
                  <c:v>589</c:v>
                </c:pt>
                <c:pt idx="55">
                  <c:v>590</c:v>
                </c:pt>
                <c:pt idx="56" formatCode="General">
                  <c:v>591</c:v>
                </c:pt>
                <c:pt idx="57" formatCode="General">
                  <c:v>590</c:v>
                </c:pt>
                <c:pt idx="58" formatCode="General">
                  <c:v>591</c:v>
                </c:pt>
                <c:pt idx="59">
                  <c:v>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06-4028-BE8B-72D26AEB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600"/>
          <c:min val="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Daya Reaktif (VAR)</a:t>
                </a:r>
              </a:p>
            </c:rich>
          </c:tx>
          <c:layout>
            <c:manualLayout>
              <c:xMode val="edge"/>
              <c:yMode val="edge"/>
              <c:x val="8.1872987471679761E-4"/>
              <c:y val="0.4236830499110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1"/>
        <c:majorTickMark val="cross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10"/>
        <c:minorUnit val="0.5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4308378910293534"/>
          <c:y val="0.68349918808787036"/>
          <c:w val="0.42160526989334945"/>
          <c:h val="0.1153650619129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36304063700401"/>
          <c:y val="8.0299437107512806E-2"/>
          <c:w val="0.86287504741784027"/>
          <c:h val="0.76543786808722269"/>
        </c:manualLayout>
      </c:layout>
      <c:scatterChart>
        <c:scatterStyle val="smoothMarker"/>
        <c:varyColors val="0"/>
        <c:ser>
          <c:idx val="0"/>
          <c:order val="0"/>
          <c:tx>
            <c:v>Raph's Meter pfR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Sheet1!$BH$5:$BH$64</c:f>
              <c:numCache>
                <c:formatCode>General</c:formatCode>
                <c:ptCount val="60"/>
                <c:pt idx="0">
                  <c:v>0.4</c:v>
                </c:pt>
                <c:pt idx="1">
                  <c:v>0.4</c:v>
                </c:pt>
                <c:pt idx="2">
                  <c:v>0.38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0.36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0.37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0.37</c:v>
                </c:pt>
                <c:pt idx="29">
                  <c:v>0.37</c:v>
                </c:pt>
                <c:pt idx="30">
                  <c:v>0.37</c:v>
                </c:pt>
                <c:pt idx="31">
                  <c:v>0.37</c:v>
                </c:pt>
                <c:pt idx="32">
                  <c:v>0.37</c:v>
                </c:pt>
                <c:pt idx="33">
                  <c:v>0.37</c:v>
                </c:pt>
                <c:pt idx="34">
                  <c:v>0.37</c:v>
                </c:pt>
                <c:pt idx="35">
                  <c:v>0.37</c:v>
                </c:pt>
                <c:pt idx="36">
                  <c:v>0.37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0.38</c:v>
                </c:pt>
                <c:pt idx="41">
                  <c:v>0.38</c:v>
                </c:pt>
                <c:pt idx="42">
                  <c:v>0.39</c:v>
                </c:pt>
                <c:pt idx="43">
                  <c:v>0.39</c:v>
                </c:pt>
                <c:pt idx="44">
                  <c:v>0.38</c:v>
                </c:pt>
                <c:pt idx="45">
                  <c:v>0.38</c:v>
                </c:pt>
                <c:pt idx="46">
                  <c:v>0.38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0.37</c:v>
                </c:pt>
                <c:pt idx="51">
                  <c:v>0.38</c:v>
                </c:pt>
                <c:pt idx="52">
                  <c:v>0.37</c:v>
                </c:pt>
                <c:pt idx="53">
                  <c:v>0.37</c:v>
                </c:pt>
                <c:pt idx="54">
                  <c:v>0.37</c:v>
                </c:pt>
                <c:pt idx="55">
                  <c:v>0.37</c:v>
                </c:pt>
                <c:pt idx="56">
                  <c:v>0.37</c:v>
                </c:pt>
                <c:pt idx="57">
                  <c:v>0.37</c:v>
                </c:pt>
                <c:pt idx="58">
                  <c:v>0.37</c:v>
                </c:pt>
                <c:pt idx="59">
                  <c:v>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2F-46D8-BB12-4AC38DE1C36C}"/>
            </c:ext>
          </c:extLst>
        </c:ser>
        <c:ser>
          <c:idx val="1"/>
          <c:order val="1"/>
          <c:tx>
            <c:v>Actual pfR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rgbClr val="C00000"/>
              </a:solidFill>
              <a:ln w="6350">
                <a:solidFill>
                  <a:srgbClr val="C00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Sheet1!$BI$5:$BI$64</c:f>
              <c:numCache>
                <c:formatCode>General</c:formatCode>
                <c:ptCount val="60"/>
                <c:pt idx="0">
                  <c:v>0.4</c:v>
                </c:pt>
                <c:pt idx="1">
                  <c:v>0.4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0.36</c:v>
                </c:pt>
                <c:pt idx="14">
                  <c:v>0.36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0.36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0.37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0.37</c:v>
                </c:pt>
                <c:pt idx="29">
                  <c:v>0.37</c:v>
                </c:pt>
                <c:pt idx="30">
                  <c:v>0.37</c:v>
                </c:pt>
                <c:pt idx="31">
                  <c:v>0.37</c:v>
                </c:pt>
                <c:pt idx="32">
                  <c:v>0.37</c:v>
                </c:pt>
                <c:pt idx="33">
                  <c:v>0.37</c:v>
                </c:pt>
                <c:pt idx="34">
                  <c:v>0.37</c:v>
                </c:pt>
                <c:pt idx="35">
                  <c:v>0.37</c:v>
                </c:pt>
                <c:pt idx="36">
                  <c:v>0.37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0.38</c:v>
                </c:pt>
                <c:pt idx="41">
                  <c:v>0.38</c:v>
                </c:pt>
                <c:pt idx="42">
                  <c:v>0.39</c:v>
                </c:pt>
                <c:pt idx="43">
                  <c:v>0.39</c:v>
                </c:pt>
                <c:pt idx="44">
                  <c:v>0.38</c:v>
                </c:pt>
                <c:pt idx="45">
                  <c:v>0.38</c:v>
                </c:pt>
                <c:pt idx="46">
                  <c:v>0.38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0.38</c:v>
                </c:pt>
                <c:pt idx="51">
                  <c:v>0.38</c:v>
                </c:pt>
                <c:pt idx="52">
                  <c:v>0.38</c:v>
                </c:pt>
                <c:pt idx="53">
                  <c:v>0.38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0.38</c:v>
                </c:pt>
                <c:pt idx="59">
                  <c:v>0.38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2F-46D8-BB12-4AC38DE1C36C}"/>
            </c:ext>
          </c:extLst>
        </c:ser>
        <c:ser>
          <c:idx val="2"/>
          <c:order val="2"/>
          <c:tx>
            <c:v>Raph's Meter pfS</c:v>
          </c:tx>
          <c:spPr>
            <a:ln w="19050" cap="rnd">
              <a:solidFill>
                <a:srgbClr val="FFC000">
                  <a:alpha val="99000"/>
                </a:srgbClr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FFC000"/>
              </a:solidFill>
              <a:ln w="6350">
                <a:solidFill>
                  <a:srgbClr val="FFC00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Sheet1!$BK$5:$BK$64</c:f>
              <c:numCache>
                <c:formatCode>General</c:formatCode>
                <c:ptCount val="60"/>
                <c:pt idx="0">
                  <c:v>0.44</c:v>
                </c:pt>
                <c:pt idx="1">
                  <c:v>0.44</c:v>
                </c:pt>
                <c:pt idx="2">
                  <c:v>0.43</c:v>
                </c:pt>
                <c:pt idx="3">
                  <c:v>0.41</c:v>
                </c:pt>
                <c:pt idx="4">
                  <c:v>0.42</c:v>
                </c:pt>
                <c:pt idx="5">
                  <c:v>0.41</c:v>
                </c:pt>
                <c:pt idx="6">
                  <c:v>0.41</c:v>
                </c:pt>
                <c:pt idx="7">
                  <c:v>0.41</c:v>
                </c:pt>
                <c:pt idx="8">
                  <c:v>0.41</c:v>
                </c:pt>
                <c:pt idx="9">
                  <c:v>0.41</c:v>
                </c:pt>
                <c:pt idx="10">
                  <c:v>0.41</c:v>
                </c:pt>
                <c:pt idx="11">
                  <c:v>0.41</c:v>
                </c:pt>
                <c:pt idx="12">
                  <c:v>0.41</c:v>
                </c:pt>
                <c:pt idx="13">
                  <c:v>0.41</c:v>
                </c:pt>
                <c:pt idx="14">
                  <c:v>0.41</c:v>
                </c:pt>
                <c:pt idx="15">
                  <c:v>0.41</c:v>
                </c:pt>
                <c:pt idx="16">
                  <c:v>0.41</c:v>
                </c:pt>
                <c:pt idx="17">
                  <c:v>0.41</c:v>
                </c:pt>
                <c:pt idx="18">
                  <c:v>0.41</c:v>
                </c:pt>
                <c:pt idx="19">
                  <c:v>0.41</c:v>
                </c:pt>
                <c:pt idx="20">
                  <c:v>0.41</c:v>
                </c:pt>
                <c:pt idx="21">
                  <c:v>0.41</c:v>
                </c:pt>
                <c:pt idx="22">
                  <c:v>0.41</c:v>
                </c:pt>
                <c:pt idx="23">
                  <c:v>0.42</c:v>
                </c:pt>
                <c:pt idx="24">
                  <c:v>0.42</c:v>
                </c:pt>
                <c:pt idx="25">
                  <c:v>0.42</c:v>
                </c:pt>
                <c:pt idx="26">
                  <c:v>0.42</c:v>
                </c:pt>
                <c:pt idx="27">
                  <c:v>0.42</c:v>
                </c:pt>
                <c:pt idx="28">
                  <c:v>0.42</c:v>
                </c:pt>
                <c:pt idx="29">
                  <c:v>0.42</c:v>
                </c:pt>
                <c:pt idx="30">
                  <c:v>0.42</c:v>
                </c:pt>
                <c:pt idx="31">
                  <c:v>0.42</c:v>
                </c:pt>
                <c:pt idx="32">
                  <c:v>0.42</c:v>
                </c:pt>
                <c:pt idx="33">
                  <c:v>0.42</c:v>
                </c:pt>
                <c:pt idx="34">
                  <c:v>0.42</c:v>
                </c:pt>
                <c:pt idx="35">
                  <c:v>0.42</c:v>
                </c:pt>
                <c:pt idx="36">
                  <c:v>0.42</c:v>
                </c:pt>
                <c:pt idx="37">
                  <c:v>0.42</c:v>
                </c:pt>
                <c:pt idx="38">
                  <c:v>0.42</c:v>
                </c:pt>
                <c:pt idx="39">
                  <c:v>0.43</c:v>
                </c:pt>
                <c:pt idx="40">
                  <c:v>0.43</c:v>
                </c:pt>
                <c:pt idx="41">
                  <c:v>0.43</c:v>
                </c:pt>
                <c:pt idx="42">
                  <c:v>0.44</c:v>
                </c:pt>
                <c:pt idx="43">
                  <c:v>0.43</c:v>
                </c:pt>
                <c:pt idx="44">
                  <c:v>0.43</c:v>
                </c:pt>
                <c:pt idx="45">
                  <c:v>0.42</c:v>
                </c:pt>
                <c:pt idx="46">
                  <c:v>0.42</c:v>
                </c:pt>
                <c:pt idx="47">
                  <c:v>0.42</c:v>
                </c:pt>
                <c:pt idx="48">
                  <c:v>0.42</c:v>
                </c:pt>
                <c:pt idx="49">
                  <c:v>0.42</c:v>
                </c:pt>
                <c:pt idx="50">
                  <c:v>0.42</c:v>
                </c:pt>
                <c:pt idx="51">
                  <c:v>0.42</c:v>
                </c:pt>
                <c:pt idx="52">
                  <c:v>0.42</c:v>
                </c:pt>
                <c:pt idx="53">
                  <c:v>0.42</c:v>
                </c:pt>
                <c:pt idx="54">
                  <c:v>0.42</c:v>
                </c:pt>
                <c:pt idx="55">
                  <c:v>0.42</c:v>
                </c:pt>
                <c:pt idx="56">
                  <c:v>0.42</c:v>
                </c:pt>
                <c:pt idx="57">
                  <c:v>0.42</c:v>
                </c:pt>
                <c:pt idx="58">
                  <c:v>0.42</c:v>
                </c:pt>
                <c:pt idx="59">
                  <c:v>0.43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2F-46D8-BB12-4AC38DE1C36C}"/>
            </c:ext>
          </c:extLst>
        </c:ser>
        <c:ser>
          <c:idx val="3"/>
          <c:order val="3"/>
          <c:tx>
            <c:v>Actual pfS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6350">
                <a:solidFill>
                  <a:srgbClr val="7030A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Sheet1!$BL$5:$BL$64</c:f>
              <c:numCache>
                <c:formatCode>General</c:formatCode>
                <c:ptCount val="60"/>
                <c:pt idx="0">
                  <c:v>0.44</c:v>
                </c:pt>
                <c:pt idx="1">
                  <c:v>0.44</c:v>
                </c:pt>
                <c:pt idx="2">
                  <c:v>0.44</c:v>
                </c:pt>
                <c:pt idx="3">
                  <c:v>0.44</c:v>
                </c:pt>
                <c:pt idx="4">
                  <c:v>0.44</c:v>
                </c:pt>
                <c:pt idx="5">
                  <c:v>0.44</c:v>
                </c:pt>
                <c:pt idx="6">
                  <c:v>0.41</c:v>
                </c:pt>
                <c:pt idx="7">
                  <c:v>0.41</c:v>
                </c:pt>
                <c:pt idx="8">
                  <c:v>0.41</c:v>
                </c:pt>
                <c:pt idx="9">
                  <c:v>0.41</c:v>
                </c:pt>
                <c:pt idx="10">
                  <c:v>0.41</c:v>
                </c:pt>
                <c:pt idx="11">
                  <c:v>0.41</c:v>
                </c:pt>
                <c:pt idx="12">
                  <c:v>0.41</c:v>
                </c:pt>
                <c:pt idx="13">
                  <c:v>0.41</c:v>
                </c:pt>
                <c:pt idx="14">
                  <c:v>0.41</c:v>
                </c:pt>
                <c:pt idx="15">
                  <c:v>0.41</c:v>
                </c:pt>
                <c:pt idx="16">
                  <c:v>0.41</c:v>
                </c:pt>
                <c:pt idx="17">
                  <c:v>0.41</c:v>
                </c:pt>
                <c:pt idx="18">
                  <c:v>0.41</c:v>
                </c:pt>
                <c:pt idx="19">
                  <c:v>0.41</c:v>
                </c:pt>
                <c:pt idx="20">
                  <c:v>0.41</c:v>
                </c:pt>
                <c:pt idx="21">
                  <c:v>0.41</c:v>
                </c:pt>
                <c:pt idx="22">
                  <c:v>0.41</c:v>
                </c:pt>
                <c:pt idx="23">
                  <c:v>0.42</c:v>
                </c:pt>
                <c:pt idx="24">
                  <c:v>0.42</c:v>
                </c:pt>
                <c:pt idx="25">
                  <c:v>0.42</c:v>
                </c:pt>
                <c:pt idx="26">
                  <c:v>0.42</c:v>
                </c:pt>
                <c:pt idx="27">
                  <c:v>0.42</c:v>
                </c:pt>
                <c:pt idx="28">
                  <c:v>0.42</c:v>
                </c:pt>
                <c:pt idx="29">
                  <c:v>0.42</c:v>
                </c:pt>
                <c:pt idx="30">
                  <c:v>0.42</c:v>
                </c:pt>
                <c:pt idx="31">
                  <c:v>0.42</c:v>
                </c:pt>
                <c:pt idx="32">
                  <c:v>0.42</c:v>
                </c:pt>
                <c:pt idx="33">
                  <c:v>0.42</c:v>
                </c:pt>
                <c:pt idx="34">
                  <c:v>0.42</c:v>
                </c:pt>
                <c:pt idx="35">
                  <c:v>0.42</c:v>
                </c:pt>
                <c:pt idx="36">
                  <c:v>0.42</c:v>
                </c:pt>
                <c:pt idx="37">
                  <c:v>0.42</c:v>
                </c:pt>
                <c:pt idx="38">
                  <c:v>0.42</c:v>
                </c:pt>
                <c:pt idx="39">
                  <c:v>0.42</c:v>
                </c:pt>
                <c:pt idx="40">
                  <c:v>0.42</c:v>
                </c:pt>
                <c:pt idx="41">
                  <c:v>0.42</c:v>
                </c:pt>
                <c:pt idx="42">
                  <c:v>0.42</c:v>
                </c:pt>
                <c:pt idx="43">
                  <c:v>0.43</c:v>
                </c:pt>
                <c:pt idx="44">
                  <c:v>0.43</c:v>
                </c:pt>
                <c:pt idx="45">
                  <c:v>0.42</c:v>
                </c:pt>
                <c:pt idx="46">
                  <c:v>0.42</c:v>
                </c:pt>
                <c:pt idx="47">
                  <c:v>0.42</c:v>
                </c:pt>
                <c:pt idx="48">
                  <c:v>0.42</c:v>
                </c:pt>
                <c:pt idx="49">
                  <c:v>0.42</c:v>
                </c:pt>
                <c:pt idx="50">
                  <c:v>0.42</c:v>
                </c:pt>
                <c:pt idx="51">
                  <c:v>0.42</c:v>
                </c:pt>
                <c:pt idx="52">
                  <c:v>0.42</c:v>
                </c:pt>
                <c:pt idx="53">
                  <c:v>0.42</c:v>
                </c:pt>
                <c:pt idx="54">
                  <c:v>0.42</c:v>
                </c:pt>
                <c:pt idx="55">
                  <c:v>0.42</c:v>
                </c:pt>
                <c:pt idx="56">
                  <c:v>0.42</c:v>
                </c:pt>
                <c:pt idx="57">
                  <c:v>0.42</c:v>
                </c:pt>
                <c:pt idx="58">
                  <c:v>0.42</c:v>
                </c:pt>
                <c:pt idx="59">
                  <c:v>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2F-46D8-BB12-4AC38DE1C36C}"/>
            </c:ext>
          </c:extLst>
        </c:ser>
        <c:ser>
          <c:idx val="4"/>
          <c:order val="4"/>
          <c:tx>
            <c:v>Raph's Meter pfT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6350">
                <a:solidFill>
                  <a:srgbClr val="0070C0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Sheet1!$BN$5:$BN$64</c:f>
              <c:numCache>
                <c:formatCode>General</c:formatCode>
                <c:ptCount val="60"/>
                <c:pt idx="0">
                  <c:v>0.49</c:v>
                </c:pt>
                <c:pt idx="1">
                  <c:v>0.49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0.37</c:v>
                </c:pt>
                <c:pt idx="10">
                  <c:v>0.37</c:v>
                </c:pt>
                <c:pt idx="11">
                  <c:v>0.37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0.37</c:v>
                </c:pt>
                <c:pt idx="23">
                  <c:v>0.37</c:v>
                </c:pt>
                <c:pt idx="24">
                  <c:v>0.38</c:v>
                </c:pt>
                <c:pt idx="25">
                  <c:v>0.38</c:v>
                </c:pt>
                <c:pt idx="26">
                  <c:v>0.38</c:v>
                </c:pt>
                <c:pt idx="27">
                  <c:v>0.38</c:v>
                </c:pt>
                <c:pt idx="28">
                  <c:v>0.38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0.39</c:v>
                </c:pt>
                <c:pt idx="41">
                  <c:v>0.39</c:v>
                </c:pt>
                <c:pt idx="42">
                  <c:v>0.4</c:v>
                </c:pt>
                <c:pt idx="43">
                  <c:v>0.4</c:v>
                </c:pt>
                <c:pt idx="44">
                  <c:v>0.39</c:v>
                </c:pt>
                <c:pt idx="45">
                  <c:v>0.38</c:v>
                </c:pt>
                <c:pt idx="46">
                  <c:v>0.39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0.38</c:v>
                </c:pt>
                <c:pt idx="51">
                  <c:v>0.38</c:v>
                </c:pt>
                <c:pt idx="52">
                  <c:v>0.38</c:v>
                </c:pt>
                <c:pt idx="53">
                  <c:v>0.38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0.38</c:v>
                </c:pt>
                <c:pt idx="59">
                  <c:v>0.39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2F-46D8-BB12-4AC38DE1C36C}"/>
            </c:ext>
          </c:extLst>
        </c:ser>
        <c:ser>
          <c:idx val="5"/>
          <c:order val="5"/>
          <c:tx>
            <c:v>Actual pfT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diamond"/>
            <c:size val="3"/>
            <c:spPr>
              <a:solidFill>
                <a:schemeClr val="accent6"/>
              </a:solidFill>
              <a:ln w="6350">
                <a:solidFill>
                  <a:schemeClr val="accent6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Sheet1!$BO$5:$BO$64</c:f>
              <c:numCache>
                <c:formatCode>General</c:formatCode>
                <c:ptCount val="60"/>
                <c:pt idx="0">
                  <c:v>0.49</c:v>
                </c:pt>
                <c:pt idx="1">
                  <c:v>0.49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0.38</c:v>
                </c:pt>
                <c:pt idx="23">
                  <c:v>0.38</c:v>
                </c:pt>
                <c:pt idx="24">
                  <c:v>0.38</c:v>
                </c:pt>
                <c:pt idx="25">
                  <c:v>0.38</c:v>
                </c:pt>
                <c:pt idx="26">
                  <c:v>0.38</c:v>
                </c:pt>
                <c:pt idx="27">
                  <c:v>0.38</c:v>
                </c:pt>
                <c:pt idx="28">
                  <c:v>0.38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0.39</c:v>
                </c:pt>
                <c:pt idx="41">
                  <c:v>0.39</c:v>
                </c:pt>
                <c:pt idx="42">
                  <c:v>0.39</c:v>
                </c:pt>
                <c:pt idx="43">
                  <c:v>0.39</c:v>
                </c:pt>
                <c:pt idx="44">
                  <c:v>0.39</c:v>
                </c:pt>
                <c:pt idx="45">
                  <c:v>0.38</c:v>
                </c:pt>
                <c:pt idx="46">
                  <c:v>0.39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0.38</c:v>
                </c:pt>
                <c:pt idx="51">
                  <c:v>0.38</c:v>
                </c:pt>
                <c:pt idx="52">
                  <c:v>0.38</c:v>
                </c:pt>
                <c:pt idx="53">
                  <c:v>0.38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0.38</c:v>
                </c:pt>
                <c:pt idx="59">
                  <c:v>0.39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2F-46D8-BB12-4AC38DE1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Power Factor</a:t>
                </a:r>
              </a:p>
            </c:rich>
          </c:tx>
          <c:layout>
            <c:manualLayout>
              <c:xMode val="edge"/>
              <c:yMode val="edge"/>
              <c:x val="8.1872987471679761E-4"/>
              <c:y val="0.4236830499110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0.1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1720856905364965"/>
          <c:y val="0.6252736857491582"/>
          <c:w val="0.40549466035550402"/>
          <c:h val="0.180661552656601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0.2398604785758168"/>
          <c:w val="0.86287504741784027"/>
          <c:h val="0.58252629921259846"/>
        </c:manualLayout>
      </c:layout>
      <c:scatterChart>
        <c:scatterStyle val="smoothMarker"/>
        <c:varyColors val="0"/>
        <c:ser>
          <c:idx val="0"/>
          <c:order val="0"/>
          <c:tx>
            <c:v>Raph's Meter fR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Sheet1!$BQ$5:$BQ$64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9D-4E86-8049-5E2CFA7CEC3C}"/>
            </c:ext>
          </c:extLst>
        </c:ser>
        <c:ser>
          <c:idx val="1"/>
          <c:order val="1"/>
          <c:tx>
            <c:v>Actual fR</c:v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Sheet1!$BR$5:$BR$64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9D-4E86-8049-5E2CFA7CEC3C}"/>
            </c:ext>
          </c:extLst>
        </c:ser>
        <c:ser>
          <c:idx val="2"/>
          <c:order val="2"/>
          <c:tx>
            <c:v>Raph's Meter fS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Sheet1!$BT$5:$BT$64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9D-4E86-8049-5E2CFA7CEC3C}"/>
            </c:ext>
          </c:extLst>
        </c:ser>
        <c:ser>
          <c:idx val="3"/>
          <c:order val="3"/>
          <c:tx>
            <c:v>Actual fS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Sheet1!$BU$5:$BU$64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9D-4E86-8049-5E2CFA7CEC3C}"/>
            </c:ext>
          </c:extLst>
        </c:ser>
        <c:ser>
          <c:idx val="4"/>
          <c:order val="4"/>
          <c:tx>
            <c:v>Raph's Meter fT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Sheet1!$BW$5:$BW$64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9D-4E86-8049-5E2CFA7CEC3C}"/>
            </c:ext>
          </c:extLst>
        </c:ser>
        <c:ser>
          <c:idx val="5"/>
          <c:order val="5"/>
          <c:tx>
            <c:v>Actual fT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Sheet1!$BX$5:$BX$64</c:f>
              <c:numCache>
                <c:formatCode>General</c:formatCode>
                <c:ptCount val="6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9D-4E86-8049-5E2CFA7CE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Frekuensi (Hz)</a:t>
                </a:r>
              </a:p>
            </c:rich>
          </c:tx>
          <c:layout>
            <c:manualLayout>
              <c:xMode val="edge"/>
              <c:yMode val="edge"/>
              <c:x val="1.9961434301525399E-2"/>
              <c:y val="0.423683101506820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10"/>
        <c:minorUnit val="1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1167607948458885"/>
          <c:y val="0.62418487086001417"/>
          <c:w val="0.36128880715322953"/>
          <c:h val="0.16866846410735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061333542"/>
          <c:y val="9.1847538623579333E-2"/>
          <c:w val="0.86287504741784027"/>
          <c:h val="0.72661052315268371"/>
        </c:manualLayout>
      </c:layout>
      <c:scatterChart>
        <c:scatterStyle val="smoothMarker"/>
        <c:varyColors val="0"/>
        <c:ser>
          <c:idx val="0"/>
          <c:order val="0"/>
          <c:tx>
            <c:v>Raph's Meter Suhu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Sheet1!$CC$5:$CC$64</c:f>
              <c:numCache>
                <c:formatCode>General</c:formatCode>
                <c:ptCount val="60"/>
                <c:pt idx="0">
                  <c:v>28.33</c:v>
                </c:pt>
                <c:pt idx="1">
                  <c:v>28.25</c:v>
                </c:pt>
                <c:pt idx="2">
                  <c:v>28.39</c:v>
                </c:pt>
                <c:pt idx="3">
                  <c:v>28.37</c:v>
                </c:pt>
                <c:pt idx="4">
                  <c:v>28.39</c:v>
                </c:pt>
                <c:pt idx="5">
                  <c:v>28.31</c:v>
                </c:pt>
                <c:pt idx="6">
                  <c:v>28.39</c:v>
                </c:pt>
                <c:pt idx="7">
                  <c:v>28.31</c:v>
                </c:pt>
                <c:pt idx="8">
                  <c:v>28.31</c:v>
                </c:pt>
                <c:pt idx="9">
                  <c:v>28.33</c:v>
                </c:pt>
                <c:pt idx="10">
                  <c:v>28.37</c:v>
                </c:pt>
                <c:pt idx="11">
                  <c:v>28.37</c:v>
                </c:pt>
                <c:pt idx="12">
                  <c:v>28.33</c:v>
                </c:pt>
                <c:pt idx="13">
                  <c:v>28.47</c:v>
                </c:pt>
                <c:pt idx="14">
                  <c:v>28.53</c:v>
                </c:pt>
                <c:pt idx="15">
                  <c:v>28.45</c:v>
                </c:pt>
                <c:pt idx="16">
                  <c:v>28.45</c:v>
                </c:pt>
                <c:pt idx="17">
                  <c:v>28.43</c:v>
                </c:pt>
                <c:pt idx="18">
                  <c:v>28.63</c:v>
                </c:pt>
                <c:pt idx="19">
                  <c:v>28.53</c:v>
                </c:pt>
                <c:pt idx="20">
                  <c:v>28.69</c:v>
                </c:pt>
                <c:pt idx="21">
                  <c:v>28.47</c:v>
                </c:pt>
                <c:pt idx="22">
                  <c:v>28.25</c:v>
                </c:pt>
                <c:pt idx="23">
                  <c:v>28.25</c:v>
                </c:pt>
                <c:pt idx="24">
                  <c:v>28.25</c:v>
                </c:pt>
                <c:pt idx="25">
                  <c:v>28.27</c:v>
                </c:pt>
                <c:pt idx="26">
                  <c:v>28.31</c:v>
                </c:pt>
                <c:pt idx="27">
                  <c:v>28.45</c:v>
                </c:pt>
                <c:pt idx="28">
                  <c:v>28.43</c:v>
                </c:pt>
                <c:pt idx="29">
                  <c:v>28.33</c:v>
                </c:pt>
                <c:pt idx="30">
                  <c:v>28.25</c:v>
                </c:pt>
                <c:pt idx="31">
                  <c:v>28.31</c:v>
                </c:pt>
                <c:pt idx="32">
                  <c:v>28.33</c:v>
                </c:pt>
                <c:pt idx="33">
                  <c:v>28.33</c:v>
                </c:pt>
                <c:pt idx="34">
                  <c:v>28.39</c:v>
                </c:pt>
                <c:pt idx="35">
                  <c:v>28.57</c:v>
                </c:pt>
                <c:pt idx="36">
                  <c:v>28.47</c:v>
                </c:pt>
                <c:pt idx="37">
                  <c:v>28.39</c:v>
                </c:pt>
                <c:pt idx="38">
                  <c:v>28.47</c:v>
                </c:pt>
                <c:pt idx="39">
                  <c:v>28.33</c:v>
                </c:pt>
                <c:pt idx="40">
                  <c:v>28.37</c:v>
                </c:pt>
                <c:pt idx="41">
                  <c:v>28.39</c:v>
                </c:pt>
                <c:pt idx="42">
                  <c:v>28.37</c:v>
                </c:pt>
                <c:pt idx="43">
                  <c:v>28.31</c:v>
                </c:pt>
                <c:pt idx="44">
                  <c:v>28.45</c:v>
                </c:pt>
                <c:pt idx="45">
                  <c:v>28.37</c:v>
                </c:pt>
                <c:pt idx="46">
                  <c:v>28.39</c:v>
                </c:pt>
                <c:pt idx="47">
                  <c:v>28.37</c:v>
                </c:pt>
                <c:pt idx="48">
                  <c:v>28.45</c:v>
                </c:pt>
                <c:pt idx="49">
                  <c:v>28.51</c:v>
                </c:pt>
                <c:pt idx="50">
                  <c:v>28.37</c:v>
                </c:pt>
                <c:pt idx="51">
                  <c:v>28.39</c:v>
                </c:pt>
                <c:pt idx="52">
                  <c:v>28.45</c:v>
                </c:pt>
                <c:pt idx="53">
                  <c:v>28.51</c:v>
                </c:pt>
                <c:pt idx="54">
                  <c:v>28.59</c:v>
                </c:pt>
                <c:pt idx="55">
                  <c:v>28.59</c:v>
                </c:pt>
                <c:pt idx="56">
                  <c:v>28.47</c:v>
                </c:pt>
                <c:pt idx="57">
                  <c:v>28.43</c:v>
                </c:pt>
                <c:pt idx="58">
                  <c:v>28.37</c:v>
                </c:pt>
                <c:pt idx="59">
                  <c:v>28.37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7F-4012-820F-BB20449A24F9}"/>
            </c:ext>
          </c:extLst>
        </c:ser>
        <c:ser>
          <c:idx val="1"/>
          <c:order val="1"/>
          <c:tx>
            <c:v>Actual Suhu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Sheet1!$CD$5:$CD$64</c:f>
              <c:numCache>
                <c:formatCode>General</c:formatCode>
                <c:ptCount val="60"/>
                <c:pt idx="0">
                  <c:v>28.5</c:v>
                </c:pt>
                <c:pt idx="1">
                  <c:v>28.5</c:v>
                </c:pt>
                <c:pt idx="2">
                  <c:v>28.5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28.5</c:v>
                </c:pt>
                <c:pt idx="7">
                  <c:v>28.5</c:v>
                </c:pt>
                <c:pt idx="8">
                  <c:v>28.5</c:v>
                </c:pt>
                <c:pt idx="9">
                  <c:v>28.5</c:v>
                </c:pt>
                <c:pt idx="10">
                  <c:v>28.5</c:v>
                </c:pt>
                <c:pt idx="11">
                  <c:v>28.5</c:v>
                </c:pt>
                <c:pt idx="12">
                  <c:v>28.5</c:v>
                </c:pt>
                <c:pt idx="13">
                  <c:v>28.5</c:v>
                </c:pt>
                <c:pt idx="14">
                  <c:v>28.5</c:v>
                </c:pt>
                <c:pt idx="15">
                  <c:v>28.5</c:v>
                </c:pt>
                <c:pt idx="16">
                  <c:v>28.5</c:v>
                </c:pt>
                <c:pt idx="17">
                  <c:v>28.5</c:v>
                </c:pt>
                <c:pt idx="18">
                  <c:v>28.5</c:v>
                </c:pt>
                <c:pt idx="19">
                  <c:v>28.5</c:v>
                </c:pt>
                <c:pt idx="20">
                  <c:v>28.5</c:v>
                </c:pt>
                <c:pt idx="21">
                  <c:v>28.5</c:v>
                </c:pt>
                <c:pt idx="22">
                  <c:v>28.5</c:v>
                </c:pt>
                <c:pt idx="23">
                  <c:v>28.5</c:v>
                </c:pt>
                <c:pt idx="24">
                  <c:v>28.5</c:v>
                </c:pt>
                <c:pt idx="25">
                  <c:v>28.5</c:v>
                </c:pt>
                <c:pt idx="26">
                  <c:v>28.5</c:v>
                </c:pt>
                <c:pt idx="27">
                  <c:v>28.5</c:v>
                </c:pt>
                <c:pt idx="28">
                  <c:v>28.5</c:v>
                </c:pt>
                <c:pt idx="29">
                  <c:v>28.5</c:v>
                </c:pt>
                <c:pt idx="30">
                  <c:v>28.5</c:v>
                </c:pt>
                <c:pt idx="31">
                  <c:v>28.5</c:v>
                </c:pt>
                <c:pt idx="32">
                  <c:v>28.5</c:v>
                </c:pt>
                <c:pt idx="33">
                  <c:v>28.5</c:v>
                </c:pt>
                <c:pt idx="34">
                  <c:v>28.5</c:v>
                </c:pt>
                <c:pt idx="35">
                  <c:v>28.5</c:v>
                </c:pt>
                <c:pt idx="36">
                  <c:v>28.5</c:v>
                </c:pt>
                <c:pt idx="37">
                  <c:v>28.5</c:v>
                </c:pt>
                <c:pt idx="38">
                  <c:v>28.4</c:v>
                </c:pt>
                <c:pt idx="39">
                  <c:v>28.4</c:v>
                </c:pt>
                <c:pt idx="40">
                  <c:v>28.4</c:v>
                </c:pt>
                <c:pt idx="41">
                  <c:v>28.4</c:v>
                </c:pt>
                <c:pt idx="42">
                  <c:v>28.4</c:v>
                </c:pt>
                <c:pt idx="43">
                  <c:v>28.4</c:v>
                </c:pt>
                <c:pt idx="44">
                  <c:v>28.4</c:v>
                </c:pt>
                <c:pt idx="45">
                  <c:v>28.4</c:v>
                </c:pt>
                <c:pt idx="46">
                  <c:v>28.4</c:v>
                </c:pt>
                <c:pt idx="47">
                  <c:v>28.4</c:v>
                </c:pt>
                <c:pt idx="48">
                  <c:v>28.4</c:v>
                </c:pt>
                <c:pt idx="49">
                  <c:v>28.4</c:v>
                </c:pt>
                <c:pt idx="50">
                  <c:v>28.4</c:v>
                </c:pt>
                <c:pt idx="51">
                  <c:v>28.4</c:v>
                </c:pt>
                <c:pt idx="52">
                  <c:v>28.4</c:v>
                </c:pt>
                <c:pt idx="53">
                  <c:v>28.4</c:v>
                </c:pt>
                <c:pt idx="54">
                  <c:v>28.4</c:v>
                </c:pt>
                <c:pt idx="55">
                  <c:v>28.4</c:v>
                </c:pt>
                <c:pt idx="56">
                  <c:v>28.4</c:v>
                </c:pt>
                <c:pt idx="57">
                  <c:v>28.4</c:v>
                </c:pt>
                <c:pt idx="58">
                  <c:v>28.4</c:v>
                </c:pt>
                <c:pt idx="59">
                  <c:v>28.4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87F-4012-820F-BB20449A2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Suhu Motor (℃)</a:t>
                </a:r>
              </a:p>
            </c:rich>
          </c:tx>
          <c:layout>
            <c:manualLayout>
              <c:xMode val="edge"/>
              <c:yMode val="edge"/>
              <c:x val="1.5728435051630029E-2"/>
              <c:y val="0.420956367977995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9.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021516660125185"/>
          <c:y val="0.72350647618123609"/>
          <c:w val="0.40487052269128793"/>
          <c:h val="6.5861911069179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4722783850915"/>
          <c:y val="8.409353981636071E-2"/>
          <c:w val="0.86287504741784027"/>
          <c:h val="0.73829303480069974"/>
        </c:manualLayout>
      </c:layout>
      <c:scatterChart>
        <c:scatterStyle val="smoothMarker"/>
        <c:varyColors val="0"/>
        <c:ser>
          <c:idx val="0"/>
          <c:order val="0"/>
          <c:tx>
            <c:v>Raph's Meter Vibrasi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Sheet1!$BZ$5:$BZ$64</c:f>
              <c:numCache>
                <c:formatCode>General</c:formatCode>
                <c:ptCount val="60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0.4</c:v>
                </c:pt>
                <c:pt idx="9">
                  <c:v>0.4</c:v>
                </c:pt>
                <c:pt idx="10">
                  <c:v>0.3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0.5</c:v>
                </c:pt>
                <c:pt idx="23">
                  <c:v>0.4</c:v>
                </c:pt>
                <c:pt idx="24">
                  <c:v>0.4</c:v>
                </c:pt>
                <c:pt idx="25">
                  <c:v>0.5</c:v>
                </c:pt>
                <c:pt idx="26">
                  <c:v>0.5</c:v>
                </c:pt>
                <c:pt idx="27">
                  <c:v>0.3</c:v>
                </c:pt>
                <c:pt idx="28">
                  <c:v>0.3</c:v>
                </c:pt>
                <c:pt idx="29">
                  <c:v>0.4</c:v>
                </c:pt>
                <c:pt idx="30">
                  <c:v>0.4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0.6</c:v>
                </c:pt>
                <c:pt idx="36">
                  <c:v>0.9</c:v>
                </c:pt>
                <c:pt idx="37">
                  <c:v>0.8</c:v>
                </c:pt>
                <c:pt idx="38">
                  <c:v>0.7</c:v>
                </c:pt>
                <c:pt idx="39">
                  <c:v>0.4</c:v>
                </c:pt>
                <c:pt idx="40">
                  <c:v>0.7</c:v>
                </c:pt>
                <c:pt idx="41">
                  <c:v>0.7</c:v>
                </c:pt>
                <c:pt idx="42">
                  <c:v>0.6</c:v>
                </c:pt>
                <c:pt idx="43">
                  <c:v>0.3</c:v>
                </c:pt>
                <c:pt idx="44">
                  <c:v>0.4</c:v>
                </c:pt>
                <c:pt idx="45">
                  <c:v>0.4</c:v>
                </c:pt>
                <c:pt idx="46">
                  <c:v>0.3</c:v>
                </c:pt>
                <c:pt idx="47">
                  <c:v>0.7</c:v>
                </c:pt>
                <c:pt idx="48">
                  <c:v>0.9</c:v>
                </c:pt>
                <c:pt idx="49">
                  <c:v>0.7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0.7</c:v>
                </c:pt>
                <c:pt idx="54">
                  <c:v>0.5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BF-4345-9FE9-CDE45D00920D}"/>
            </c:ext>
          </c:extLst>
        </c:ser>
        <c:ser>
          <c:idx val="1"/>
          <c:order val="1"/>
          <c:tx>
            <c:v>Actual Vibrasi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xVal>
            <c:numRef>
              <c:f>Sheet1!$D$5:$D$64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Sheet1!$CA$5:$CA$64</c:f>
              <c:numCache>
                <c:formatCode>General</c:formatCode>
                <c:ptCount val="6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0.5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0.5</c:v>
                </c:pt>
                <c:pt idx="55">
                  <c:v>0.4</c:v>
                </c:pt>
                <c:pt idx="56">
                  <c:v>0.4</c:v>
                </c:pt>
                <c:pt idx="57">
                  <c:v>0.4</c:v>
                </c:pt>
                <c:pt idx="58">
                  <c:v>0.4</c:v>
                </c:pt>
                <c:pt idx="59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BF-4345-9FE9-CDE45D009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7535"/>
        <c:axId val="1592949455"/>
      </c:scatterChart>
      <c:valAx>
        <c:axId val="1592947535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9455"/>
        <c:crosses val="autoZero"/>
        <c:crossBetween val="midCat"/>
        <c:majorUnit val="10"/>
      </c:valAx>
      <c:valAx>
        <c:axId val="1592949455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Vibrasi (mm/s)</a:t>
                </a:r>
              </a:p>
            </c:rich>
          </c:tx>
          <c:layout>
            <c:manualLayout>
              <c:xMode val="edge"/>
              <c:yMode val="edge"/>
              <c:x val="2.4122599017745813E-2"/>
              <c:y val="0.31603555040421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7535"/>
        <c:crosses val="autoZero"/>
        <c:crossBetween val="midCat"/>
        <c:majorUnit val="1.5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4344688533681085"/>
          <c:y val="0.14038668806927332"/>
          <c:w val="0.4108697354867003"/>
          <c:h val="6.8828850789769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3">
          <a:alpha val="9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Sheet2!$B$2:$B$61</c:f>
              <c:numCache>
                <c:formatCode>General</c:formatCode>
                <c:ptCount val="60"/>
                <c:pt idx="0">
                  <c:v>398.53</c:v>
                </c:pt>
                <c:pt idx="1">
                  <c:v>398.53</c:v>
                </c:pt>
                <c:pt idx="2">
                  <c:v>398.53</c:v>
                </c:pt>
                <c:pt idx="3">
                  <c:v>398.53</c:v>
                </c:pt>
                <c:pt idx="4">
                  <c:v>398.53</c:v>
                </c:pt>
                <c:pt idx="5">
                  <c:v>398.53</c:v>
                </c:pt>
                <c:pt idx="6">
                  <c:v>398.53</c:v>
                </c:pt>
                <c:pt idx="7">
                  <c:v>398.53</c:v>
                </c:pt>
                <c:pt idx="8">
                  <c:v>398.53</c:v>
                </c:pt>
                <c:pt idx="9">
                  <c:v>398.53</c:v>
                </c:pt>
                <c:pt idx="10">
                  <c:v>398.53</c:v>
                </c:pt>
                <c:pt idx="11">
                  <c:v>398.53</c:v>
                </c:pt>
                <c:pt idx="12">
                  <c:v>398.53</c:v>
                </c:pt>
                <c:pt idx="13">
                  <c:v>398.53</c:v>
                </c:pt>
                <c:pt idx="14">
                  <c:v>398.53</c:v>
                </c:pt>
                <c:pt idx="15">
                  <c:v>398.53</c:v>
                </c:pt>
                <c:pt idx="16">
                  <c:v>398.53</c:v>
                </c:pt>
                <c:pt idx="17">
                  <c:v>398.53</c:v>
                </c:pt>
                <c:pt idx="18">
                  <c:v>398.53</c:v>
                </c:pt>
                <c:pt idx="19">
                  <c:v>398.53</c:v>
                </c:pt>
                <c:pt idx="20">
                  <c:v>398.36</c:v>
                </c:pt>
                <c:pt idx="21">
                  <c:v>398.36</c:v>
                </c:pt>
                <c:pt idx="22">
                  <c:v>398.36</c:v>
                </c:pt>
                <c:pt idx="23">
                  <c:v>398.36</c:v>
                </c:pt>
                <c:pt idx="24">
                  <c:v>398.53</c:v>
                </c:pt>
                <c:pt idx="25">
                  <c:v>398.53</c:v>
                </c:pt>
                <c:pt idx="26">
                  <c:v>398.36</c:v>
                </c:pt>
                <c:pt idx="27">
                  <c:v>398.53</c:v>
                </c:pt>
                <c:pt idx="28">
                  <c:v>398.53</c:v>
                </c:pt>
                <c:pt idx="29">
                  <c:v>398.53</c:v>
                </c:pt>
                <c:pt idx="30">
                  <c:v>398.53</c:v>
                </c:pt>
                <c:pt idx="31">
                  <c:v>398.36</c:v>
                </c:pt>
                <c:pt idx="32">
                  <c:v>398.36</c:v>
                </c:pt>
                <c:pt idx="33">
                  <c:v>398.36</c:v>
                </c:pt>
                <c:pt idx="34">
                  <c:v>398.36</c:v>
                </c:pt>
                <c:pt idx="35">
                  <c:v>398.36</c:v>
                </c:pt>
                <c:pt idx="36">
                  <c:v>398.53</c:v>
                </c:pt>
                <c:pt idx="37">
                  <c:v>398.53</c:v>
                </c:pt>
                <c:pt idx="38">
                  <c:v>398.36</c:v>
                </c:pt>
                <c:pt idx="39">
                  <c:v>398.36</c:v>
                </c:pt>
                <c:pt idx="40">
                  <c:v>398.53</c:v>
                </c:pt>
                <c:pt idx="41">
                  <c:v>398.53</c:v>
                </c:pt>
                <c:pt idx="42">
                  <c:v>398.36</c:v>
                </c:pt>
                <c:pt idx="43">
                  <c:v>398.53</c:v>
                </c:pt>
                <c:pt idx="44">
                  <c:v>398.53</c:v>
                </c:pt>
                <c:pt idx="45">
                  <c:v>398.53</c:v>
                </c:pt>
                <c:pt idx="46">
                  <c:v>398.53</c:v>
                </c:pt>
                <c:pt idx="47">
                  <c:v>398.36</c:v>
                </c:pt>
                <c:pt idx="48">
                  <c:v>398.36</c:v>
                </c:pt>
                <c:pt idx="49">
                  <c:v>398.53</c:v>
                </c:pt>
                <c:pt idx="50">
                  <c:v>398.53</c:v>
                </c:pt>
                <c:pt idx="51">
                  <c:v>398.53</c:v>
                </c:pt>
                <c:pt idx="52">
                  <c:v>398.53</c:v>
                </c:pt>
                <c:pt idx="53">
                  <c:v>398.53</c:v>
                </c:pt>
                <c:pt idx="54">
                  <c:v>398.53</c:v>
                </c:pt>
                <c:pt idx="55">
                  <c:v>398.53</c:v>
                </c:pt>
                <c:pt idx="56">
                  <c:v>398.53</c:v>
                </c:pt>
                <c:pt idx="57">
                  <c:v>398.53</c:v>
                </c:pt>
                <c:pt idx="58">
                  <c:v>398.36</c:v>
                </c:pt>
                <c:pt idx="59">
                  <c:v>398.36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98-44D9-BCB0-148E28339CDC}"/>
            </c:ext>
          </c:extLst>
        </c:ser>
        <c:ser>
          <c:idx val="1"/>
          <c:order val="1"/>
          <c:spPr>
            <a:ln w="19050" cap="rnd" cmpd="sng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rgbClr val="0070C0"/>
              </a:solidFill>
              <a:ln w="9525">
                <a:noFill/>
                <a:prstDash val="sysDash"/>
              </a:ln>
              <a:effectLst/>
            </c:spPr>
          </c:marker>
          <c:xVal>
            <c:numRef>
              <c:f>Sheet2!$A$2:$A$61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Sheet2!$C$2:$C$61</c:f>
              <c:numCache>
                <c:formatCode>General</c:formatCode>
                <c:ptCount val="60"/>
                <c:pt idx="0">
                  <c:v>395.24</c:v>
                </c:pt>
                <c:pt idx="1">
                  <c:v>395.24</c:v>
                </c:pt>
                <c:pt idx="2">
                  <c:v>395.24</c:v>
                </c:pt>
                <c:pt idx="3">
                  <c:v>395.24</c:v>
                </c:pt>
                <c:pt idx="4">
                  <c:v>395.24</c:v>
                </c:pt>
                <c:pt idx="5">
                  <c:v>395.24</c:v>
                </c:pt>
                <c:pt idx="6">
                  <c:v>395.24</c:v>
                </c:pt>
                <c:pt idx="7">
                  <c:v>395.24</c:v>
                </c:pt>
                <c:pt idx="8">
                  <c:v>395.24</c:v>
                </c:pt>
                <c:pt idx="9">
                  <c:v>395.24</c:v>
                </c:pt>
                <c:pt idx="10">
                  <c:v>395.24</c:v>
                </c:pt>
                <c:pt idx="11">
                  <c:v>395.24</c:v>
                </c:pt>
                <c:pt idx="12">
                  <c:v>395.24</c:v>
                </c:pt>
                <c:pt idx="13">
                  <c:v>395.24</c:v>
                </c:pt>
                <c:pt idx="14">
                  <c:v>395.42</c:v>
                </c:pt>
                <c:pt idx="15">
                  <c:v>395.42</c:v>
                </c:pt>
                <c:pt idx="16">
                  <c:v>395.07</c:v>
                </c:pt>
                <c:pt idx="17">
                  <c:v>395.24</c:v>
                </c:pt>
                <c:pt idx="18">
                  <c:v>395.24</c:v>
                </c:pt>
                <c:pt idx="19">
                  <c:v>395.42</c:v>
                </c:pt>
                <c:pt idx="20">
                  <c:v>395.42</c:v>
                </c:pt>
                <c:pt idx="21">
                  <c:v>395.42</c:v>
                </c:pt>
                <c:pt idx="22">
                  <c:v>395.42</c:v>
                </c:pt>
                <c:pt idx="23">
                  <c:v>395.42</c:v>
                </c:pt>
                <c:pt idx="24">
                  <c:v>395.42</c:v>
                </c:pt>
                <c:pt idx="25">
                  <c:v>395.42</c:v>
                </c:pt>
                <c:pt idx="26">
                  <c:v>395.42</c:v>
                </c:pt>
                <c:pt idx="27">
                  <c:v>395.59</c:v>
                </c:pt>
                <c:pt idx="28">
                  <c:v>395.59</c:v>
                </c:pt>
                <c:pt idx="29">
                  <c:v>395.59</c:v>
                </c:pt>
                <c:pt idx="30">
                  <c:v>395.59</c:v>
                </c:pt>
                <c:pt idx="31">
                  <c:v>395.59</c:v>
                </c:pt>
                <c:pt idx="32">
                  <c:v>395.42</c:v>
                </c:pt>
                <c:pt idx="33">
                  <c:v>395.42</c:v>
                </c:pt>
                <c:pt idx="34">
                  <c:v>395.42</c:v>
                </c:pt>
                <c:pt idx="35">
                  <c:v>395.42</c:v>
                </c:pt>
                <c:pt idx="36">
                  <c:v>395.42</c:v>
                </c:pt>
                <c:pt idx="37">
                  <c:v>395.42</c:v>
                </c:pt>
                <c:pt idx="38">
                  <c:v>395.42</c:v>
                </c:pt>
                <c:pt idx="39">
                  <c:v>395.59</c:v>
                </c:pt>
                <c:pt idx="40">
                  <c:v>395.42</c:v>
                </c:pt>
                <c:pt idx="41">
                  <c:v>395.59</c:v>
                </c:pt>
                <c:pt idx="42">
                  <c:v>395.42</c:v>
                </c:pt>
                <c:pt idx="43">
                  <c:v>395.42</c:v>
                </c:pt>
                <c:pt idx="44">
                  <c:v>395.42</c:v>
                </c:pt>
                <c:pt idx="45">
                  <c:v>395.59</c:v>
                </c:pt>
                <c:pt idx="46">
                  <c:v>395.59</c:v>
                </c:pt>
                <c:pt idx="47">
                  <c:v>395.59</c:v>
                </c:pt>
                <c:pt idx="48">
                  <c:v>395.59</c:v>
                </c:pt>
                <c:pt idx="49">
                  <c:v>395.59</c:v>
                </c:pt>
                <c:pt idx="50">
                  <c:v>395.59</c:v>
                </c:pt>
                <c:pt idx="51">
                  <c:v>395.42</c:v>
                </c:pt>
                <c:pt idx="52">
                  <c:v>395.42</c:v>
                </c:pt>
                <c:pt idx="53">
                  <c:v>395.42</c:v>
                </c:pt>
                <c:pt idx="54">
                  <c:v>395.59</c:v>
                </c:pt>
                <c:pt idx="55">
                  <c:v>395.59</c:v>
                </c:pt>
                <c:pt idx="56">
                  <c:v>395.42</c:v>
                </c:pt>
                <c:pt idx="57">
                  <c:v>395.42</c:v>
                </c:pt>
                <c:pt idx="58">
                  <c:v>395.42</c:v>
                </c:pt>
                <c:pt idx="59">
                  <c:v>395.59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98-44D9-BCB0-148E28339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637775"/>
        <c:axId val="1502634415"/>
      </c:scatterChart>
      <c:valAx>
        <c:axId val="1502637775"/>
        <c:scaling>
          <c:orientation val="minMax"/>
          <c:max val="61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34415"/>
        <c:crosses val="autoZero"/>
        <c:crossBetween val="midCat"/>
        <c:majorUnit val="2"/>
        <c:minorUnit val="0.2"/>
      </c:valAx>
      <c:valAx>
        <c:axId val="1502634415"/>
        <c:scaling>
          <c:orientation val="minMax"/>
          <c:max val="400"/>
          <c:min val="39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37775"/>
        <c:crosses val="autoZero"/>
        <c:crossBetween val="midCat"/>
        <c:majorUnit val="1.3"/>
        <c:min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163457</xdr:colOff>
      <xdr:row>66</xdr:row>
      <xdr:rowOff>177800</xdr:rowOff>
    </xdr:from>
    <xdr:to>
      <xdr:col>9</xdr:col>
      <xdr:colOff>634665</xdr:colOff>
      <xdr:row>83</xdr:row>
      <xdr:rowOff>60613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F8E71-4280-1DDD-EE93-752308003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146050</xdr:colOff>
      <xdr:row>65</xdr:row>
      <xdr:rowOff>126252</xdr:rowOff>
    </xdr:from>
    <xdr:to>
      <xdr:col>18</xdr:col>
      <xdr:colOff>228227</xdr:colOff>
      <xdr:row>83</xdr:row>
      <xdr:rowOff>37353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2B89BE-AC69-9316-E448-993203F38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160959</xdr:colOff>
      <xdr:row>84</xdr:row>
      <xdr:rowOff>30094</xdr:rowOff>
    </xdr:from>
    <xdr:to>
      <xdr:col>9</xdr:col>
      <xdr:colOff>632167</xdr:colOff>
      <xdr:row>101</xdr:row>
      <xdr:rowOff>103119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827AF8-3CBD-436D-A5AE-2EB8EDFFF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89648</xdr:colOff>
      <xdr:row>83</xdr:row>
      <xdr:rowOff>134470</xdr:rowOff>
    </xdr:from>
    <xdr:to>
      <xdr:col>18</xdr:col>
      <xdr:colOff>246531</xdr:colOff>
      <xdr:row>101</xdr:row>
      <xdr:rowOff>58644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835C57-E47C-4001-AADE-5F3BFDD06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590464</xdr:colOff>
      <xdr:row>65</xdr:row>
      <xdr:rowOff>150900</xdr:rowOff>
    </xdr:from>
    <xdr:to>
      <xdr:col>28</xdr:col>
      <xdr:colOff>215310</xdr:colOff>
      <xdr:row>83</xdr:row>
      <xdr:rowOff>99523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D33822-BCAF-45D3-B68A-87F39260C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84</xdr:row>
      <xdr:rowOff>0</xdr:rowOff>
    </xdr:from>
    <xdr:to>
      <xdr:col>28</xdr:col>
      <xdr:colOff>237435</xdr:colOff>
      <xdr:row>101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5B8510-8463-4EC0-9F48-7A091F1F2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588818</xdr:colOff>
      <xdr:row>65</xdr:row>
      <xdr:rowOff>127000</xdr:rowOff>
    </xdr:from>
    <xdr:to>
      <xdr:col>38</xdr:col>
      <xdr:colOff>79873</xdr:colOff>
      <xdr:row>83</xdr:row>
      <xdr:rowOff>75623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C8AB4CE-241C-4A1C-8AAB-68B392148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0</xdr:colOff>
      <xdr:row>84</xdr:row>
      <xdr:rowOff>0</xdr:rowOff>
    </xdr:from>
    <xdr:to>
      <xdr:col>38</xdr:col>
      <xdr:colOff>102964</xdr:colOff>
      <xdr:row>101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D121A9B-5618-4294-AFFA-D5494DDE8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418353</xdr:colOff>
      <xdr:row>65</xdr:row>
      <xdr:rowOff>104588</xdr:rowOff>
    </xdr:from>
    <xdr:to>
      <xdr:col>47</xdr:col>
      <xdr:colOff>386847</xdr:colOff>
      <xdr:row>83</xdr:row>
      <xdr:rowOff>51173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E95325-D6CB-4D4E-B8A4-3945F1EE4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484230</xdr:colOff>
      <xdr:row>83</xdr:row>
      <xdr:rowOff>173182</xdr:rowOff>
    </xdr:from>
    <xdr:to>
      <xdr:col>47</xdr:col>
      <xdr:colOff>452724</xdr:colOff>
      <xdr:row>101</xdr:row>
      <xdr:rowOff>119767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E15FDE-9352-4A14-A31E-09EE10007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549274</xdr:colOff>
      <xdr:row>3</xdr:row>
      <xdr:rowOff>53975</xdr:rowOff>
    </xdr:from>
    <xdr:to>
      <xdr:col>16</xdr:col>
      <xdr:colOff>508000</xdr:colOff>
      <xdr:row>18</xdr:row>
      <xdr:rowOff>34925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C1FCAB-AC93-AD4F-A48D-FB23CEBC5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2777-42EF-4B6C-AAB6-C6C990DC83BD}">
  <dimension ref="A3:CE66"/>
  <sheetViews>
    <sheetView tabSelected="1" topLeftCell="AL83" zoomScaleNormal="100" workbookViewId="0">
      <selection activeCell="AW91" sqref="AW91"/>
    </sheetView>
  </sheetViews>
  <sheetFormatPr defaultRowHeight="14.5" x14ac:dyDescent="0.35"/>
  <cols>
    <col min="1" max="1" width="9.81640625" bestFit="1" customWidth="1"/>
    <col min="10" max="10" width="10.26953125" bestFit="1" customWidth="1"/>
    <col min="11" max="11" width="12.7265625" style="1" bestFit="1" customWidth="1"/>
    <col min="12" max="12" width="9.7265625" bestFit="1" customWidth="1"/>
    <col min="14" max="14" width="8.7265625" style="1"/>
    <col min="17" max="17" width="8.7265625" style="1"/>
    <col min="20" max="20" width="8.7265625" style="1"/>
    <col min="23" max="23" width="8.7265625" style="1"/>
    <col min="26" max="26" width="8.7265625" style="1"/>
    <col min="29" max="29" width="8.7265625" style="1"/>
    <col min="32" max="32" width="8.7265625" style="1"/>
    <col min="33" max="33" width="9.7265625" bestFit="1" customWidth="1"/>
    <col min="34" max="34" width="12.6328125" bestFit="1" customWidth="1"/>
    <col min="35" max="35" width="12.90625" style="1" bestFit="1" customWidth="1"/>
    <col min="36" max="37" width="9.7265625" bestFit="1" customWidth="1"/>
    <col min="38" max="38" width="12.6328125" style="1" bestFit="1" customWidth="1"/>
    <col min="39" max="39" width="9.7265625" bestFit="1" customWidth="1"/>
    <col min="40" max="40" width="13.26953125" bestFit="1" customWidth="1"/>
    <col min="41" max="41" width="8.7265625" style="1"/>
    <col min="42" max="43" width="9.7265625" bestFit="1" customWidth="1"/>
    <col min="44" max="44" width="8.7265625" style="1"/>
    <col min="45" max="45" width="9.7265625" bestFit="1" customWidth="1"/>
    <col min="47" max="47" width="8.7265625" style="1"/>
    <col min="48" max="49" width="9.7265625" bestFit="1" customWidth="1"/>
    <col min="50" max="50" width="8.7265625" style="1"/>
    <col min="51" max="51" width="9.7265625" bestFit="1" customWidth="1"/>
    <col min="52" max="52" width="12.6328125" bestFit="1" customWidth="1"/>
    <col min="53" max="53" width="8.7265625" style="1"/>
    <col min="54" max="54" width="9.7265625" bestFit="1" customWidth="1"/>
    <col min="55" max="55" width="10" bestFit="1" customWidth="1"/>
    <col min="56" max="56" width="8.7265625" style="1"/>
    <col min="57" max="57" width="9.7265625" bestFit="1" customWidth="1"/>
    <col min="59" max="59" width="8.7265625" style="1"/>
    <col min="62" max="62" width="9.36328125" style="1" bestFit="1" customWidth="1"/>
    <col min="63" max="63" width="8.7265625" style="2"/>
    <col min="65" max="65" width="8.7265625" style="1"/>
    <col min="71" max="71" width="8.7265625" style="1"/>
    <col min="74" max="74" width="8.7265625" style="1"/>
    <col min="77" max="77" width="8.7265625" style="1"/>
    <col min="80" max="80" width="8.7265625" style="1"/>
    <col min="82" max="82" width="10" bestFit="1" customWidth="1"/>
    <col min="83" max="83" width="8.7265625" style="1"/>
  </cols>
  <sheetData>
    <row r="3" spans="1:83" x14ac:dyDescent="0.35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/>
      <c r="H3" s="31"/>
      <c r="I3" s="31" t="s">
        <v>6</v>
      </c>
      <c r="J3" s="31"/>
      <c r="K3" s="31"/>
      <c r="L3" s="31" t="s">
        <v>7</v>
      </c>
      <c r="M3" s="31"/>
      <c r="N3" s="31"/>
      <c r="O3" s="31" t="s">
        <v>8</v>
      </c>
      <c r="P3" s="31"/>
      <c r="Q3" s="31"/>
      <c r="R3" s="31" t="s">
        <v>9</v>
      </c>
      <c r="S3" s="31"/>
      <c r="T3" s="31"/>
      <c r="U3" s="31" t="s">
        <v>10</v>
      </c>
      <c r="V3" s="31"/>
      <c r="W3" s="31"/>
      <c r="X3" s="32" t="s">
        <v>11</v>
      </c>
      <c r="Y3" s="32"/>
      <c r="Z3" s="32"/>
      <c r="AA3" s="33" t="s">
        <v>12</v>
      </c>
      <c r="AB3" s="34"/>
      <c r="AC3" s="35"/>
      <c r="AD3" s="36" t="s">
        <v>13</v>
      </c>
      <c r="AE3" s="36"/>
      <c r="AF3" s="36"/>
      <c r="AG3" s="30" t="s">
        <v>27</v>
      </c>
      <c r="AH3" s="30"/>
      <c r="AI3" s="30"/>
      <c r="AJ3" s="30" t="s">
        <v>28</v>
      </c>
      <c r="AK3" s="30"/>
      <c r="AL3" s="30"/>
      <c r="AM3" s="30" t="s">
        <v>29</v>
      </c>
      <c r="AN3" s="30"/>
      <c r="AO3" s="30"/>
      <c r="AP3" s="30" t="s">
        <v>30</v>
      </c>
      <c r="AQ3" s="30"/>
      <c r="AR3" s="30"/>
      <c r="AS3" s="30" t="s">
        <v>31</v>
      </c>
      <c r="AT3" s="30"/>
      <c r="AU3" s="30"/>
      <c r="AV3" s="30" t="s">
        <v>32</v>
      </c>
      <c r="AW3" s="30"/>
      <c r="AX3" s="30"/>
      <c r="AY3" s="30" t="s">
        <v>33</v>
      </c>
      <c r="AZ3" s="30"/>
      <c r="BA3" s="30"/>
      <c r="BB3" s="30" t="s">
        <v>34</v>
      </c>
      <c r="BC3" s="30"/>
      <c r="BD3" s="30"/>
      <c r="BE3" s="31" t="s">
        <v>35</v>
      </c>
      <c r="BF3" s="31"/>
      <c r="BG3" s="31"/>
      <c r="BH3" s="31" t="s">
        <v>14</v>
      </c>
      <c r="BI3" s="31"/>
      <c r="BJ3" s="31"/>
      <c r="BK3" s="31" t="s">
        <v>15</v>
      </c>
      <c r="BL3" s="31"/>
      <c r="BM3" s="31"/>
      <c r="BN3" s="31" t="s">
        <v>16</v>
      </c>
      <c r="BO3" s="31"/>
      <c r="BP3" s="31"/>
      <c r="BQ3" s="31" t="s">
        <v>17</v>
      </c>
      <c r="BR3" s="31"/>
      <c r="BS3" s="31"/>
      <c r="BT3" s="31" t="s">
        <v>18</v>
      </c>
      <c r="BU3" s="31"/>
      <c r="BV3" s="31"/>
      <c r="BW3" s="31" t="s">
        <v>19</v>
      </c>
      <c r="BX3" s="31"/>
      <c r="BY3" s="31"/>
      <c r="BZ3" s="31" t="s">
        <v>20</v>
      </c>
      <c r="CA3" s="31"/>
      <c r="CB3" s="31"/>
      <c r="CC3" s="31" t="s">
        <v>21</v>
      </c>
      <c r="CD3" s="31"/>
      <c r="CE3" s="31"/>
    </row>
    <row r="4" spans="1:83" x14ac:dyDescent="0.35">
      <c r="A4" s="31"/>
      <c r="B4" s="31"/>
      <c r="C4" s="31"/>
      <c r="D4" s="31"/>
      <c r="E4" s="31"/>
      <c r="F4" s="3" t="s">
        <v>22</v>
      </c>
      <c r="G4" s="3" t="s">
        <v>23</v>
      </c>
      <c r="H4" s="3" t="s">
        <v>24</v>
      </c>
      <c r="I4" s="3" t="s">
        <v>22</v>
      </c>
      <c r="J4" s="3" t="s">
        <v>23</v>
      </c>
      <c r="K4" s="4" t="s">
        <v>24</v>
      </c>
      <c r="L4" s="3" t="s">
        <v>22</v>
      </c>
      <c r="M4" s="3" t="s">
        <v>23</v>
      </c>
      <c r="N4" s="4" t="s">
        <v>24</v>
      </c>
      <c r="O4" s="3" t="s">
        <v>22</v>
      </c>
      <c r="P4" s="3" t="s">
        <v>23</v>
      </c>
      <c r="Q4" s="4" t="s">
        <v>24</v>
      </c>
      <c r="R4" s="3" t="s">
        <v>22</v>
      </c>
      <c r="S4" s="3" t="s">
        <v>23</v>
      </c>
      <c r="T4" s="4" t="s">
        <v>24</v>
      </c>
      <c r="U4" s="3" t="s">
        <v>22</v>
      </c>
      <c r="V4" s="3" t="s">
        <v>23</v>
      </c>
      <c r="W4" s="4" t="s">
        <v>24</v>
      </c>
      <c r="X4" s="3" t="s">
        <v>22</v>
      </c>
      <c r="Y4" s="3" t="s">
        <v>23</v>
      </c>
      <c r="Z4" s="4" t="s">
        <v>24</v>
      </c>
      <c r="AA4" s="3" t="s">
        <v>22</v>
      </c>
      <c r="AB4" s="3" t="s">
        <v>23</v>
      </c>
      <c r="AC4" s="4" t="s">
        <v>24</v>
      </c>
      <c r="AD4" s="3" t="s">
        <v>22</v>
      </c>
      <c r="AE4" s="3" t="s">
        <v>23</v>
      </c>
      <c r="AF4" s="4" t="s">
        <v>24</v>
      </c>
      <c r="AG4" s="3" t="s">
        <v>22</v>
      </c>
      <c r="AH4" s="3" t="s">
        <v>23</v>
      </c>
      <c r="AI4" s="4" t="s">
        <v>24</v>
      </c>
      <c r="AJ4" s="3" t="s">
        <v>22</v>
      </c>
      <c r="AK4" s="3" t="s">
        <v>23</v>
      </c>
      <c r="AL4" s="4" t="s">
        <v>24</v>
      </c>
      <c r="AM4" s="3" t="s">
        <v>22</v>
      </c>
      <c r="AN4" s="3" t="s">
        <v>23</v>
      </c>
      <c r="AO4" s="4" t="s">
        <v>24</v>
      </c>
      <c r="AP4" s="3" t="s">
        <v>22</v>
      </c>
      <c r="AQ4" s="3" t="s">
        <v>23</v>
      </c>
      <c r="AR4" s="4" t="s">
        <v>24</v>
      </c>
      <c r="AS4" s="3" t="s">
        <v>22</v>
      </c>
      <c r="AT4" s="3" t="s">
        <v>23</v>
      </c>
      <c r="AU4" s="4" t="s">
        <v>24</v>
      </c>
      <c r="AV4" s="3" t="s">
        <v>22</v>
      </c>
      <c r="AW4" s="3" t="s">
        <v>23</v>
      </c>
      <c r="AX4" s="4" t="s">
        <v>24</v>
      </c>
      <c r="AY4" s="3" t="s">
        <v>22</v>
      </c>
      <c r="AZ4" s="3" t="s">
        <v>23</v>
      </c>
      <c r="BA4" s="4" t="s">
        <v>24</v>
      </c>
      <c r="BB4" s="3" t="s">
        <v>22</v>
      </c>
      <c r="BC4" s="3" t="s">
        <v>23</v>
      </c>
      <c r="BD4" s="4" t="s">
        <v>24</v>
      </c>
      <c r="BE4" s="3" t="s">
        <v>22</v>
      </c>
      <c r="BF4" s="3" t="s">
        <v>23</v>
      </c>
      <c r="BG4" s="4" t="s">
        <v>24</v>
      </c>
      <c r="BH4" s="3" t="s">
        <v>22</v>
      </c>
      <c r="BI4" s="3" t="s">
        <v>23</v>
      </c>
      <c r="BJ4" s="4" t="s">
        <v>24</v>
      </c>
      <c r="BK4" s="5" t="s">
        <v>22</v>
      </c>
      <c r="BL4" s="3" t="s">
        <v>23</v>
      </c>
      <c r="BM4" s="4" t="s">
        <v>24</v>
      </c>
      <c r="BN4" s="3" t="s">
        <v>22</v>
      </c>
      <c r="BO4" s="3" t="s">
        <v>23</v>
      </c>
      <c r="BP4" s="3" t="s">
        <v>24</v>
      </c>
      <c r="BQ4" s="3" t="s">
        <v>22</v>
      </c>
      <c r="BR4" s="3" t="s">
        <v>23</v>
      </c>
      <c r="BS4" s="4" t="s">
        <v>24</v>
      </c>
      <c r="BT4" s="3" t="s">
        <v>22</v>
      </c>
      <c r="BU4" s="3" t="s">
        <v>23</v>
      </c>
      <c r="BV4" s="4" t="s">
        <v>24</v>
      </c>
      <c r="BW4" s="3" t="s">
        <v>22</v>
      </c>
      <c r="BX4" s="3" t="s">
        <v>23</v>
      </c>
      <c r="BY4" s="4" t="s">
        <v>24</v>
      </c>
      <c r="BZ4" s="3" t="s">
        <v>22</v>
      </c>
      <c r="CA4" s="3" t="s">
        <v>23</v>
      </c>
      <c r="CB4" s="4" t="s">
        <v>24</v>
      </c>
      <c r="CC4" s="3" t="s">
        <v>22</v>
      </c>
      <c r="CD4" s="3" t="s">
        <v>23</v>
      </c>
      <c r="CE4" s="4" t="s">
        <v>24</v>
      </c>
    </row>
    <row r="5" spans="1:83" x14ac:dyDescent="0.35">
      <c r="A5" s="29">
        <v>46104.272465277776</v>
      </c>
      <c r="B5" s="3" t="s">
        <v>25</v>
      </c>
      <c r="C5" s="3">
        <v>60</v>
      </c>
      <c r="D5" s="3">
        <v>0</v>
      </c>
      <c r="E5" s="3">
        <v>7</v>
      </c>
      <c r="F5" s="21">
        <v>403.2</v>
      </c>
      <c r="G5" s="3">
        <v>404.02</v>
      </c>
      <c r="H5" s="14">
        <f>IF(OR(F5="",G5="",G5=0),"",ABS((F5-G5)/G5))</f>
        <v>2.0296024949259771E-3</v>
      </c>
      <c r="I5" s="22">
        <v>404.41</v>
      </c>
      <c r="J5" s="3">
        <v>404.02</v>
      </c>
      <c r="K5" s="14">
        <f>IF(OR(I5="",J5="",J5=0),"",ABS((I5-J5)/J5))</f>
        <v>9.6529874758686011E-4</v>
      </c>
      <c r="L5" s="22">
        <v>405.9</v>
      </c>
      <c r="M5" s="3">
        <v>405.18</v>
      </c>
      <c r="N5" s="14">
        <f>IF(OR(L5="",M5="",M5=0),"",ABS((L5-M5)/M5))</f>
        <v>1.7769880053308911E-3</v>
      </c>
      <c r="O5" s="22">
        <v>232.8</v>
      </c>
      <c r="P5" s="3">
        <v>232.31</v>
      </c>
      <c r="Q5" s="14">
        <f>IF(OR(O5="",P5="",P5=0),"",ABS((O5-P5)/P5))</f>
        <v>2.1092505703586119E-3</v>
      </c>
      <c r="R5" s="22">
        <v>233.5</v>
      </c>
      <c r="S5" s="3">
        <v>232.86</v>
      </c>
      <c r="T5" s="14">
        <f>IF(OR(R5="",S5="",S5=0),"",ABS((R5-S5)/S5))</f>
        <v>2.7484325345700691E-3</v>
      </c>
      <c r="U5" s="22">
        <v>233.7</v>
      </c>
      <c r="V5" s="10">
        <v>232.8</v>
      </c>
      <c r="W5" s="14">
        <f>IF(OR(U5="",V5="",V5=0),"",ABS((U5-V5)/V5))</f>
        <v>3.8659793814432011E-3</v>
      </c>
      <c r="X5" s="23">
        <v>2.6259999999999999</v>
      </c>
      <c r="Y5" s="11">
        <v>2.7</v>
      </c>
      <c r="Z5" s="14">
        <f>IF(OR(X5="",Y5="",Y5=0),"",ABS((X5-Y5)/Y5))</f>
        <v>2.7407407407407512E-2</v>
      </c>
      <c r="AA5" s="23">
        <v>2.6960000000000002</v>
      </c>
      <c r="AB5" s="11">
        <v>2.7</v>
      </c>
      <c r="AC5" s="14">
        <f>IF(OR(AA5="",AB5="",AB5=0),"",ABS((AA5-AB5)/AB5))</f>
        <v>1.4814814814814827E-3</v>
      </c>
      <c r="AD5" s="23">
        <v>2.7440000000000002</v>
      </c>
      <c r="AE5" s="11">
        <v>2.7</v>
      </c>
      <c r="AF5" s="14">
        <f>IF(OR(AD5="",AE5="",AE5=0),"",ABS((AD5-AE5)/AE5))</f>
        <v>1.6296296296296309E-2</v>
      </c>
      <c r="AG5" s="24">
        <v>241</v>
      </c>
      <c r="AH5" s="3">
        <v>239</v>
      </c>
      <c r="AI5" s="15">
        <f>IF(OR(AG5="",AH5="",AH5=0),"",ABS((AG5-AH5)/AH5))</f>
        <v>8.368200836820083E-3</v>
      </c>
      <c r="AJ5" s="22">
        <v>278</v>
      </c>
      <c r="AK5" s="6">
        <v>276</v>
      </c>
      <c r="AL5" s="14">
        <f>IF(OR(AJ5="",AK5="",AK5=0),"",ABS((AJ5-AK5)/AK5))</f>
        <v>7.246376811594203E-3</v>
      </c>
      <c r="AM5" s="24">
        <v>245</v>
      </c>
      <c r="AN5" s="6">
        <v>243</v>
      </c>
      <c r="AO5" s="14">
        <f>IF(OR(AM5="",AN5="",AN5=0),"",ABS((AM5-AN5)/AN5))</f>
        <v>8.23045267489712E-3</v>
      </c>
      <c r="AP5" s="24">
        <v>610</v>
      </c>
      <c r="AQ5" s="6">
        <v>608</v>
      </c>
      <c r="AR5" s="14">
        <f>IF(OR(AP5="",AQ5="",AQ5=0),"",ABS((AP5-AQ5)/AQ5))</f>
        <v>3.2894736842105261E-3</v>
      </c>
      <c r="AS5" s="24">
        <v>620</v>
      </c>
      <c r="AT5" s="3">
        <v>618</v>
      </c>
      <c r="AU5" s="14">
        <f>IF(OR(AS5="",AT5="",AT5=0),"",ABS((AS5-AT5)/AT5))</f>
        <v>3.2362459546925568E-3</v>
      </c>
      <c r="AV5" s="22">
        <v>642</v>
      </c>
      <c r="AW5" s="6">
        <v>640</v>
      </c>
      <c r="AX5" s="14">
        <f>IF(OR(AV5="",AW5="",AW5=0),"",ABS((AV5-AW5)/AW5))</f>
        <v>3.1250000000000002E-3</v>
      </c>
      <c r="AY5" s="26">
        <v>561</v>
      </c>
      <c r="AZ5" s="6">
        <v>559</v>
      </c>
      <c r="BA5" s="14">
        <f>IF(OR(AY5="",AZ5="",AZ5=0),"",ABS((AY5-AZ5)/AZ5))</f>
        <v>3.5778175313059034E-3</v>
      </c>
      <c r="BB5" s="27">
        <v>564</v>
      </c>
      <c r="BC5" s="6">
        <v>562</v>
      </c>
      <c r="BD5" s="14">
        <f>IF(OR(BB5="",BC5="",BC5=0),"",ABS((BB5-BC5)/BC5))</f>
        <v>3.5587188612099642E-3</v>
      </c>
      <c r="BE5" s="24">
        <v>592</v>
      </c>
      <c r="BF5" s="6">
        <v>590</v>
      </c>
      <c r="BG5" s="14">
        <f>IF(OR(BE5="",BF5="",BF5=0),"",ABS((BE5-BF5)/BF5))</f>
        <v>3.3898305084745762E-3</v>
      </c>
      <c r="BH5" s="21">
        <v>0.4</v>
      </c>
      <c r="BI5" s="28">
        <v>0.4</v>
      </c>
      <c r="BJ5" s="14">
        <f>IF(OR(BH5="",BI5="",BI5=0),"",ABS((BH5-BI5)/BI5))</f>
        <v>0</v>
      </c>
      <c r="BK5" s="21">
        <v>0.44</v>
      </c>
      <c r="BL5" s="28">
        <v>0.44</v>
      </c>
      <c r="BM5" s="14">
        <f>IF(OR(BK5="",BL5="",BL5=0),"",ABS((BK5-BL5)/BL5))</f>
        <v>0</v>
      </c>
      <c r="BN5" s="21">
        <v>0.49</v>
      </c>
      <c r="BO5" s="28">
        <v>0.49</v>
      </c>
      <c r="BP5" s="14">
        <f>IF(OR(BN5="",BO5="",BO5=0),"",ABS((BN5-BO5)/BO5))</f>
        <v>0</v>
      </c>
      <c r="BQ5" s="3">
        <v>50</v>
      </c>
      <c r="BR5" s="3">
        <v>50</v>
      </c>
      <c r="BS5" s="13">
        <f>IF(OR(BQ5="",BR5="",BR5=0),"",ABS((BQ5-BR5)/BR5))</f>
        <v>0</v>
      </c>
      <c r="BT5" s="3">
        <v>50</v>
      </c>
      <c r="BU5" s="3">
        <v>50</v>
      </c>
      <c r="BV5" s="13">
        <f>IF(OR(BT5="",BU5="",BU5=0),"",ABS((BT5-BU5)/BU5))</f>
        <v>0</v>
      </c>
      <c r="BW5" s="3">
        <v>50</v>
      </c>
      <c r="BX5" s="3">
        <v>50</v>
      </c>
      <c r="BY5" s="13">
        <f>IF(OR(BW5="",BX5="",BX5=0),"",ABS((BW5-BX5)/BX5))</f>
        <v>0</v>
      </c>
      <c r="BZ5">
        <v>0.4</v>
      </c>
      <c r="CA5" s="3">
        <v>0.3</v>
      </c>
      <c r="CB5" s="12">
        <f>IF(OR(BZ5="",CA5="",CA5=0),"",ABS((BZ5-CA5)/CA5))</f>
        <v>0.33333333333333348</v>
      </c>
      <c r="CC5" s="10">
        <v>28.33</v>
      </c>
      <c r="CD5" s="10">
        <v>28.5</v>
      </c>
      <c r="CE5" s="14">
        <f>IF(OR(CC5="",CD5="",CD5=0),"",ABS((CC5-CD5)/CD5))</f>
        <v>5.9649122807018144E-3</v>
      </c>
    </row>
    <row r="6" spans="1:83" x14ac:dyDescent="0.35">
      <c r="A6" s="29">
        <v>46104.272465277776</v>
      </c>
      <c r="B6" s="3" t="s">
        <v>25</v>
      </c>
      <c r="C6" s="3">
        <v>60</v>
      </c>
      <c r="D6" s="3">
        <v>1</v>
      </c>
      <c r="E6" s="3">
        <v>9</v>
      </c>
      <c r="F6" s="21">
        <v>403.21</v>
      </c>
      <c r="G6" s="3">
        <v>404.02</v>
      </c>
      <c r="H6" s="14">
        <f t="shared" ref="H6:H64" si="0">IF(OR(F6="",G6="",G6=0),"",ABS((F6-G6)/G6))</f>
        <v>2.0048512449878774E-3</v>
      </c>
      <c r="I6" s="22">
        <v>404.42</v>
      </c>
      <c r="J6" s="3">
        <v>404.02</v>
      </c>
      <c r="K6" s="14">
        <f t="shared" ref="K6:K64" si="1">IF(OR(I6="",J6="",J6=0),"",ABS((I6-J6)/J6))</f>
        <v>9.9004999752495956E-4</v>
      </c>
      <c r="L6" s="22">
        <v>405.1</v>
      </c>
      <c r="M6" s="3">
        <v>405.18</v>
      </c>
      <c r="N6" s="14">
        <f t="shared" ref="N6:N64" si="2">IF(OR(L6="",M6="",M6=0),"",ABS((L6-M6)/M6))</f>
        <v>1.9744311170340117E-4</v>
      </c>
      <c r="O6" s="22">
        <v>232.8</v>
      </c>
      <c r="P6" s="3">
        <v>232.31</v>
      </c>
      <c r="Q6" s="14">
        <f t="shared" ref="Q6:Q64" si="3">IF(OR(O6="",P6="",P6=0),"",ABS((O6-P6)/P6))</f>
        <v>2.1092505703586119E-3</v>
      </c>
      <c r="R6" s="22">
        <v>233.5</v>
      </c>
      <c r="S6" s="3">
        <v>232.86</v>
      </c>
      <c r="T6" s="14">
        <f t="shared" ref="T6:T64" si="4">IF(OR(R6="",S6="",S6=0),"",ABS((R6-S6)/S6))</f>
        <v>2.7484325345700691E-3</v>
      </c>
      <c r="U6" s="22">
        <v>233.8</v>
      </c>
      <c r="V6" s="10">
        <v>232.8</v>
      </c>
      <c r="W6" s="14">
        <f t="shared" ref="W6:W64" si="5">IF(OR(U6="",V6="",V6=0),"",ABS((U6-V6)/V6))</f>
        <v>4.2955326460481094E-3</v>
      </c>
      <c r="X6" s="23">
        <v>2.6259999999999999</v>
      </c>
      <c r="Y6" s="11">
        <v>2.7</v>
      </c>
      <c r="Z6" s="14">
        <f t="shared" ref="Z6:Z64" si="6">IF(OR(X6="",Y6="",Y6=0),"",ABS((X6-Y6)/Y6))</f>
        <v>2.7407407407407512E-2</v>
      </c>
      <c r="AA6" s="23">
        <v>2.6960000000000002</v>
      </c>
      <c r="AB6" s="11">
        <v>2.7</v>
      </c>
      <c r="AC6" s="14">
        <f t="shared" ref="AC6:AC64" si="7">IF(OR(AA6="",AB6="",AB6=0),"",ABS((AA6-AB6)/AB6))</f>
        <v>1.4814814814814827E-3</v>
      </c>
      <c r="AD6" s="23">
        <v>2.7440000000000002</v>
      </c>
      <c r="AE6" s="11">
        <v>2.7</v>
      </c>
      <c r="AF6" s="14">
        <f t="shared" ref="AF6:AF64" si="8">IF(OR(AD6="",AE6="",AE6=0),"",ABS((AD6-AE6)/AE6))</f>
        <v>1.6296296296296309E-2</v>
      </c>
      <c r="AG6" s="24">
        <v>242</v>
      </c>
      <c r="AH6" s="6">
        <v>240</v>
      </c>
      <c r="AI6" s="15">
        <f t="shared" ref="AI6:AI64" si="9">IF(OR(AG6="",AH6="",AH6=0),"",ABS((AG6-AH6)/AH6))</f>
        <v>8.3333333333333332E-3</v>
      </c>
      <c r="AJ6" s="22">
        <v>279</v>
      </c>
      <c r="AK6" s="6">
        <v>277</v>
      </c>
      <c r="AL6" s="14">
        <f t="shared" ref="AL6:AL64" si="10">IF(OR(AJ6="",AK6="",AK6=0),"",ABS((AJ6-AK6)/AK6))</f>
        <v>7.2202166064981952E-3</v>
      </c>
      <c r="AM6" s="24">
        <v>246</v>
      </c>
      <c r="AN6" s="6">
        <v>244</v>
      </c>
      <c r="AO6" s="14">
        <f t="shared" ref="AO6:AO64" si="11">IF(OR(AM6="",AN6="",AN6=0),"",ABS((AM6-AN6)/AN6))</f>
        <v>8.1967213114754103E-3</v>
      </c>
      <c r="AP6" s="24">
        <v>611</v>
      </c>
      <c r="AQ6" s="6">
        <v>609</v>
      </c>
      <c r="AR6" s="14">
        <f t="shared" ref="AR6:AR64" si="12">IF(OR(AP6="",AQ6="",AQ6=0),"",ABS((AP6-AQ6)/AQ6))</f>
        <v>3.2840722495894909E-3</v>
      </c>
      <c r="AS6" s="24">
        <v>630</v>
      </c>
      <c r="AT6" s="3">
        <v>628</v>
      </c>
      <c r="AU6" s="14">
        <f t="shared" ref="AU6:AU64" si="13">IF(OR(AS6="",AT6="",AT6=0),"",ABS((AS6-AT6)/AT6))</f>
        <v>3.1847133757961785E-3</v>
      </c>
      <c r="AV6" s="22">
        <v>642</v>
      </c>
      <c r="AW6" s="6">
        <v>640</v>
      </c>
      <c r="AX6" s="14">
        <f t="shared" ref="AX6:AX64" si="14">IF(OR(AV6="",AW6="",AW6=0),"",ABS((AV6-AW6)/AW6))</f>
        <v>3.1250000000000002E-3</v>
      </c>
      <c r="AY6" s="26">
        <v>561</v>
      </c>
      <c r="AZ6" s="6">
        <v>559</v>
      </c>
      <c r="BA6" s="14">
        <f t="shared" ref="BA6:BA64" si="15">IF(OR(AY6="",AZ6="",AZ6=0),"",ABS((AY6-AZ6)/AZ6))</f>
        <v>3.5778175313059034E-3</v>
      </c>
      <c r="BB6" s="27">
        <v>564</v>
      </c>
      <c r="BC6" s="6">
        <v>562</v>
      </c>
      <c r="BD6" s="14">
        <f t="shared" ref="BD6:BD64" si="16">IF(OR(BB6="",BC6="",BC6=0),"",ABS((BB6-BC6)/BC6))</f>
        <v>3.5587188612099642E-3</v>
      </c>
      <c r="BE6" s="24">
        <v>592</v>
      </c>
      <c r="BF6" s="6">
        <v>590</v>
      </c>
      <c r="BG6" s="14">
        <f t="shared" ref="BG6:BG64" si="17">IF(OR(BE6="",BF6="",BF6=0),"",ABS((BE6-BF6)/BF6))</f>
        <v>3.3898305084745762E-3</v>
      </c>
      <c r="BH6" s="21">
        <v>0.4</v>
      </c>
      <c r="BI6" s="28">
        <v>0.4</v>
      </c>
      <c r="BJ6" s="14">
        <f t="shared" ref="BJ6:BJ64" si="18">IF(OR(BH6="",BI6="",BI6=0),"",ABS((BH6-BI6)/BI6))</f>
        <v>0</v>
      </c>
      <c r="BK6" s="21">
        <v>0.44</v>
      </c>
      <c r="BL6" s="28">
        <v>0.44</v>
      </c>
      <c r="BM6" s="14">
        <f t="shared" ref="BM6:BM64" si="19">IF(OR(BK6="",BL6="",BL6=0),"",ABS((BK6-BL6)/BL6))</f>
        <v>0</v>
      </c>
      <c r="BN6" s="21">
        <v>0.49</v>
      </c>
      <c r="BO6" s="28">
        <v>0.49</v>
      </c>
      <c r="BP6" s="14">
        <f t="shared" ref="BP6:BP64" si="20">IF(OR(BN6="",BO6="",BO6=0),"",ABS((BN6-BO6)/BO6))</f>
        <v>0</v>
      </c>
      <c r="BQ6" s="3">
        <v>50</v>
      </c>
      <c r="BR6" s="3">
        <v>50</v>
      </c>
      <c r="BS6" s="13">
        <f t="shared" ref="BS6:BS64" si="21">IF(OR(BQ6="",BR6="",BR6=0),"",ABS((BQ6-BR6)/BR6))</f>
        <v>0</v>
      </c>
      <c r="BT6" s="3">
        <v>50</v>
      </c>
      <c r="BU6" s="3">
        <v>50</v>
      </c>
      <c r="BV6" s="13">
        <f t="shared" ref="BV6:BV64" si="22">IF(OR(BT6="",BU6="",BU6=0),"",ABS((BT6-BU6)/BU6))</f>
        <v>0</v>
      </c>
      <c r="BW6" s="3">
        <v>50</v>
      </c>
      <c r="BX6" s="3">
        <v>50</v>
      </c>
      <c r="BY6" s="13">
        <f t="shared" ref="BY6:BY64" si="23">IF(OR(BW6="",BX6="",BX6=0),"",ABS((BW6-BX6)/BX6))</f>
        <v>0</v>
      </c>
      <c r="BZ6">
        <v>0.4</v>
      </c>
      <c r="CA6" s="3">
        <v>0.3</v>
      </c>
      <c r="CB6" s="14">
        <f t="shared" ref="CB6:CB64" si="24">IF(OR(BZ6="",CA6="",CA6=0),"",ABS((BZ6-CA6)/CA6))</f>
        <v>0.33333333333333348</v>
      </c>
      <c r="CC6" s="10">
        <v>28.25</v>
      </c>
      <c r="CD6" s="10">
        <v>28.5</v>
      </c>
      <c r="CE6" s="14">
        <f t="shared" ref="CE6:CE64" si="25">IF(OR(CC6="",CD6="",CD6=0),"",ABS((CC6-CD6)/CD6))</f>
        <v>8.771929824561403E-3</v>
      </c>
    </row>
    <row r="7" spans="1:83" x14ac:dyDescent="0.35">
      <c r="A7" s="29">
        <v>46104.272465277776</v>
      </c>
      <c r="B7" s="3" t="s">
        <v>25</v>
      </c>
      <c r="C7" s="3">
        <v>60</v>
      </c>
      <c r="D7" s="3">
        <v>2</v>
      </c>
      <c r="E7" s="3">
        <v>11</v>
      </c>
      <c r="F7" s="21">
        <v>403.21</v>
      </c>
      <c r="G7" s="3">
        <v>404.02</v>
      </c>
      <c r="H7" s="14">
        <f t="shared" si="0"/>
        <v>2.0048512449878774E-3</v>
      </c>
      <c r="I7" s="22">
        <v>404.42</v>
      </c>
      <c r="J7" s="3">
        <v>404.02</v>
      </c>
      <c r="K7" s="14">
        <f t="shared" si="1"/>
        <v>9.9004999752495956E-4</v>
      </c>
      <c r="L7" s="22">
        <v>405.11</v>
      </c>
      <c r="M7" s="3">
        <v>405.18</v>
      </c>
      <c r="N7" s="14">
        <f t="shared" si="2"/>
        <v>1.7276272274049356E-4</v>
      </c>
      <c r="O7" s="22">
        <v>232.8</v>
      </c>
      <c r="P7" s="3">
        <v>232.31</v>
      </c>
      <c r="Q7" s="14">
        <f t="shared" si="3"/>
        <v>2.1092505703586119E-3</v>
      </c>
      <c r="R7" s="22">
        <v>233.5</v>
      </c>
      <c r="S7" s="3">
        <v>232.86</v>
      </c>
      <c r="T7" s="14">
        <f t="shared" si="4"/>
        <v>2.7484325345700691E-3</v>
      </c>
      <c r="U7" s="22">
        <v>233.9</v>
      </c>
      <c r="V7" s="10">
        <v>232.8</v>
      </c>
      <c r="W7" s="14">
        <f t="shared" si="5"/>
        <v>4.7250859106528964E-3</v>
      </c>
      <c r="X7" s="23">
        <v>2.6019999999999999</v>
      </c>
      <c r="Y7" s="11">
        <v>2.7</v>
      </c>
      <c r="Z7" s="14">
        <f t="shared" si="6"/>
        <v>3.629629629629641E-2</v>
      </c>
      <c r="AA7" s="23">
        <v>2.669</v>
      </c>
      <c r="AB7" s="11">
        <v>2.7</v>
      </c>
      <c r="AC7" s="14">
        <f t="shared" si="7"/>
        <v>1.1481481481481532E-2</v>
      </c>
      <c r="AD7" s="23">
        <v>2.7440000000000002</v>
      </c>
      <c r="AE7" s="11">
        <v>2.7</v>
      </c>
      <c r="AF7" s="14">
        <f t="shared" si="8"/>
        <v>1.6296296296296309E-2</v>
      </c>
      <c r="AG7" s="24">
        <v>229</v>
      </c>
      <c r="AH7" s="6">
        <v>228</v>
      </c>
      <c r="AI7" s="15">
        <f t="shared" si="9"/>
        <v>4.3859649122807015E-3</v>
      </c>
      <c r="AJ7" s="22">
        <v>265</v>
      </c>
      <c r="AK7" s="6">
        <v>264</v>
      </c>
      <c r="AL7" s="14">
        <f t="shared" si="10"/>
        <v>3.787878787878788E-3</v>
      </c>
      <c r="AM7" s="24">
        <v>247</v>
      </c>
      <c r="AN7" s="6">
        <v>245</v>
      </c>
      <c r="AO7" s="14">
        <f t="shared" si="11"/>
        <v>8.1632653061224497E-3</v>
      </c>
      <c r="AP7" s="24">
        <v>606</v>
      </c>
      <c r="AQ7" s="6">
        <v>604</v>
      </c>
      <c r="AR7" s="14">
        <f t="shared" si="12"/>
        <v>3.3112582781456954E-3</v>
      </c>
      <c r="AS7" s="24">
        <v>623</v>
      </c>
      <c r="AT7" s="3">
        <v>621</v>
      </c>
      <c r="AU7" s="14">
        <f t="shared" si="13"/>
        <v>3.2206119162640902E-3</v>
      </c>
      <c r="AV7" s="22">
        <v>642</v>
      </c>
      <c r="AW7" s="6">
        <v>640</v>
      </c>
      <c r="AX7" s="14">
        <f t="shared" si="14"/>
        <v>3.1250000000000002E-3</v>
      </c>
      <c r="AY7" s="26">
        <v>561</v>
      </c>
      <c r="AZ7" s="6">
        <v>559</v>
      </c>
      <c r="BA7" s="14">
        <f t="shared" si="15"/>
        <v>3.5778175313059034E-3</v>
      </c>
      <c r="BB7" s="27">
        <v>564</v>
      </c>
      <c r="BC7" s="6">
        <v>562</v>
      </c>
      <c r="BD7" s="14">
        <f t="shared" si="16"/>
        <v>3.5587188612099642E-3</v>
      </c>
      <c r="BE7" s="24">
        <v>592</v>
      </c>
      <c r="BF7" s="6">
        <v>590</v>
      </c>
      <c r="BG7" s="14">
        <f t="shared" si="17"/>
        <v>3.3898305084745762E-3</v>
      </c>
      <c r="BH7" s="21">
        <v>0.38</v>
      </c>
      <c r="BI7" s="28">
        <v>0.38</v>
      </c>
      <c r="BJ7" s="14">
        <f t="shared" si="18"/>
        <v>0</v>
      </c>
      <c r="BK7" s="21">
        <v>0.43</v>
      </c>
      <c r="BL7" s="28">
        <v>0.44</v>
      </c>
      <c r="BM7" s="14">
        <f t="shared" si="19"/>
        <v>2.2727272727272749E-2</v>
      </c>
      <c r="BN7" s="21">
        <v>0.38</v>
      </c>
      <c r="BO7" s="28">
        <v>0.38</v>
      </c>
      <c r="BP7" s="14">
        <f t="shared" si="20"/>
        <v>0</v>
      </c>
      <c r="BQ7" s="3">
        <v>50</v>
      </c>
      <c r="BR7" s="3">
        <v>50</v>
      </c>
      <c r="BS7" s="13">
        <f t="shared" si="21"/>
        <v>0</v>
      </c>
      <c r="BT7" s="3">
        <v>50</v>
      </c>
      <c r="BU7" s="3">
        <v>50</v>
      </c>
      <c r="BV7" s="13">
        <f t="shared" si="22"/>
        <v>0</v>
      </c>
      <c r="BW7" s="3">
        <v>50</v>
      </c>
      <c r="BX7" s="3">
        <v>50</v>
      </c>
      <c r="BY7" s="13">
        <f t="shared" si="23"/>
        <v>0</v>
      </c>
      <c r="BZ7">
        <v>0.4</v>
      </c>
      <c r="CA7" s="3">
        <v>0.3</v>
      </c>
      <c r="CB7" s="14">
        <f t="shared" si="24"/>
        <v>0.33333333333333348</v>
      </c>
      <c r="CC7" s="10">
        <v>28.39</v>
      </c>
      <c r="CD7" s="10">
        <v>28.5</v>
      </c>
      <c r="CE7" s="14">
        <f t="shared" si="25"/>
        <v>3.8596491228069978E-3</v>
      </c>
    </row>
    <row r="8" spans="1:83" x14ac:dyDescent="0.35">
      <c r="A8" s="29">
        <v>46104.272465277776</v>
      </c>
      <c r="B8" s="3" t="s">
        <v>25</v>
      </c>
      <c r="C8" s="3">
        <v>60</v>
      </c>
      <c r="D8" s="3">
        <v>3</v>
      </c>
      <c r="E8" s="3">
        <v>13</v>
      </c>
      <c r="F8" s="21">
        <v>403.04</v>
      </c>
      <c r="G8" s="3">
        <v>404.02</v>
      </c>
      <c r="H8" s="14">
        <f t="shared" si="0"/>
        <v>2.4256224939358481E-3</v>
      </c>
      <c r="I8" s="22">
        <v>404.42</v>
      </c>
      <c r="J8" s="3">
        <v>404.02</v>
      </c>
      <c r="K8" s="14">
        <f t="shared" si="1"/>
        <v>9.9004999752495956E-4</v>
      </c>
      <c r="L8" s="22">
        <v>404.94</v>
      </c>
      <c r="M8" s="3">
        <v>405.18</v>
      </c>
      <c r="N8" s="14">
        <f t="shared" si="2"/>
        <v>5.9232933511034383E-4</v>
      </c>
      <c r="O8" s="22">
        <v>232.7</v>
      </c>
      <c r="P8" s="3">
        <v>232.31</v>
      </c>
      <c r="Q8" s="14">
        <f t="shared" si="3"/>
        <v>1.6787912702853358E-3</v>
      </c>
      <c r="R8" s="22">
        <v>233.5</v>
      </c>
      <c r="S8" s="3">
        <v>232.86</v>
      </c>
      <c r="T8" s="14">
        <f t="shared" si="4"/>
        <v>2.7484325345700691E-3</v>
      </c>
      <c r="U8" s="22">
        <v>233.8</v>
      </c>
      <c r="V8" s="10">
        <v>232.8</v>
      </c>
      <c r="W8" s="14">
        <f t="shared" si="5"/>
        <v>4.2955326460481094E-3</v>
      </c>
      <c r="X8" s="23">
        <v>2.5920000000000001</v>
      </c>
      <c r="Y8" s="11">
        <v>2.7</v>
      </c>
      <c r="Z8" s="14">
        <f t="shared" si="6"/>
        <v>4.0000000000000036E-2</v>
      </c>
      <c r="AA8" s="23">
        <v>2.6579999999999999</v>
      </c>
      <c r="AB8" s="11">
        <v>2.7</v>
      </c>
      <c r="AC8" s="14">
        <f t="shared" si="7"/>
        <v>1.5555555555555651E-2</v>
      </c>
      <c r="AD8" s="23">
        <v>2.734</v>
      </c>
      <c r="AE8" s="11">
        <v>2.7</v>
      </c>
      <c r="AF8" s="14">
        <f t="shared" si="8"/>
        <v>1.259259259259252E-2</v>
      </c>
      <c r="AG8" s="24">
        <v>222</v>
      </c>
      <c r="AH8" s="6">
        <v>220</v>
      </c>
      <c r="AI8" s="15">
        <f t="shared" si="9"/>
        <v>9.0909090909090905E-3</v>
      </c>
      <c r="AJ8" s="22">
        <v>257</v>
      </c>
      <c r="AK8" s="6">
        <v>256</v>
      </c>
      <c r="AL8" s="14">
        <f t="shared" si="10"/>
        <v>3.90625E-3</v>
      </c>
      <c r="AM8" s="24">
        <v>241</v>
      </c>
      <c r="AN8" s="6">
        <v>239</v>
      </c>
      <c r="AO8" s="14">
        <f t="shared" si="11"/>
        <v>8.368200836820083E-3</v>
      </c>
      <c r="AP8" s="24">
        <v>603</v>
      </c>
      <c r="AQ8" s="6">
        <v>601</v>
      </c>
      <c r="AR8" s="14">
        <f t="shared" si="12"/>
        <v>3.3277870216306157E-3</v>
      </c>
      <c r="AS8" s="24">
        <v>621</v>
      </c>
      <c r="AT8" s="3">
        <v>619</v>
      </c>
      <c r="AU8" s="14">
        <f t="shared" si="13"/>
        <v>3.2310177705977385E-3</v>
      </c>
      <c r="AV8" s="22">
        <v>639</v>
      </c>
      <c r="AW8" s="6">
        <v>637</v>
      </c>
      <c r="AX8" s="14">
        <f t="shared" si="14"/>
        <v>3.1397174254317113E-3</v>
      </c>
      <c r="AY8" s="26">
        <v>561</v>
      </c>
      <c r="AZ8" s="6">
        <v>559</v>
      </c>
      <c r="BA8" s="14">
        <f t="shared" si="15"/>
        <v>3.5778175313059034E-3</v>
      </c>
      <c r="BB8" s="27">
        <v>565</v>
      </c>
      <c r="BC8" s="6">
        <v>563</v>
      </c>
      <c r="BD8" s="14">
        <f t="shared" si="16"/>
        <v>3.552397868561279E-3</v>
      </c>
      <c r="BE8" s="24">
        <v>592</v>
      </c>
      <c r="BF8" s="6">
        <v>590</v>
      </c>
      <c r="BG8" s="14">
        <f t="shared" si="17"/>
        <v>3.3898305084745762E-3</v>
      </c>
      <c r="BH8" s="21">
        <v>0.37</v>
      </c>
      <c r="BI8" s="28">
        <v>0.38</v>
      </c>
      <c r="BJ8" s="14">
        <f t="shared" si="18"/>
        <v>2.6315789473684233E-2</v>
      </c>
      <c r="BK8" s="21">
        <v>0.41</v>
      </c>
      <c r="BL8" s="28">
        <v>0.44</v>
      </c>
      <c r="BM8" s="14">
        <f t="shared" si="19"/>
        <v>6.8181818181818246E-2</v>
      </c>
      <c r="BN8" s="21">
        <v>0.38</v>
      </c>
      <c r="BO8" s="28">
        <v>0.38</v>
      </c>
      <c r="BP8" s="14">
        <f t="shared" si="20"/>
        <v>0</v>
      </c>
      <c r="BQ8" s="3">
        <v>50</v>
      </c>
      <c r="BR8" s="3">
        <v>50</v>
      </c>
      <c r="BS8" s="13">
        <f t="shared" si="21"/>
        <v>0</v>
      </c>
      <c r="BT8" s="3">
        <v>50</v>
      </c>
      <c r="BU8" s="3">
        <v>50</v>
      </c>
      <c r="BV8" s="13">
        <f t="shared" si="22"/>
        <v>0</v>
      </c>
      <c r="BW8" s="3">
        <v>50</v>
      </c>
      <c r="BX8" s="3">
        <v>50</v>
      </c>
      <c r="BY8" s="13">
        <f t="shared" si="23"/>
        <v>0</v>
      </c>
      <c r="BZ8">
        <v>0.4</v>
      </c>
      <c r="CA8" s="3">
        <v>0.3</v>
      </c>
      <c r="CB8" s="14">
        <f t="shared" si="24"/>
        <v>0.33333333333333348</v>
      </c>
      <c r="CC8" s="10">
        <v>28.37</v>
      </c>
      <c r="CD8" s="10">
        <v>28.5</v>
      </c>
      <c r="CE8" s="14">
        <f t="shared" si="25"/>
        <v>4.5614035087718947E-3</v>
      </c>
    </row>
    <row r="9" spans="1:83" x14ac:dyDescent="0.35">
      <c r="A9" s="29">
        <v>46104.272465277776</v>
      </c>
      <c r="B9" s="3" t="s">
        <v>25</v>
      </c>
      <c r="C9" s="3">
        <v>60</v>
      </c>
      <c r="D9" s="3">
        <v>4</v>
      </c>
      <c r="E9" s="3">
        <v>16</v>
      </c>
      <c r="F9" s="21">
        <v>403.04</v>
      </c>
      <c r="G9" s="3">
        <v>404.02</v>
      </c>
      <c r="H9" s="14">
        <f t="shared" si="0"/>
        <v>2.4256224939358481E-3</v>
      </c>
      <c r="I9" s="22">
        <v>404.25</v>
      </c>
      <c r="J9" s="3">
        <v>404.02</v>
      </c>
      <c r="K9" s="14">
        <f t="shared" si="1"/>
        <v>5.6927874857684818E-4</v>
      </c>
      <c r="L9" s="22">
        <v>404.94</v>
      </c>
      <c r="M9" s="3">
        <v>405.18</v>
      </c>
      <c r="N9" s="14">
        <f t="shared" si="2"/>
        <v>5.9232933511034383E-4</v>
      </c>
      <c r="O9" s="22">
        <v>232.7</v>
      </c>
      <c r="P9" s="3">
        <v>232.31</v>
      </c>
      <c r="Q9" s="14">
        <f t="shared" si="3"/>
        <v>1.6787912702853358E-3</v>
      </c>
      <c r="R9" s="22">
        <v>233.4</v>
      </c>
      <c r="S9" s="3">
        <v>232.86</v>
      </c>
      <c r="T9" s="14">
        <f t="shared" si="4"/>
        <v>2.3189899510435113E-3</v>
      </c>
      <c r="U9" s="22">
        <v>233.8</v>
      </c>
      <c r="V9" s="10">
        <v>232.8</v>
      </c>
      <c r="W9" s="14">
        <f t="shared" si="5"/>
        <v>4.2955326460481094E-3</v>
      </c>
      <c r="X9" s="23">
        <v>2.59</v>
      </c>
      <c r="Y9" s="11">
        <v>2.7</v>
      </c>
      <c r="Z9" s="14">
        <f t="shared" si="6"/>
        <v>4.0740740740740855E-2</v>
      </c>
      <c r="AA9" s="23">
        <v>2.6549999999999998</v>
      </c>
      <c r="AB9" s="11">
        <v>2.7</v>
      </c>
      <c r="AC9" s="14">
        <f t="shared" si="7"/>
        <v>1.6666666666666805E-2</v>
      </c>
      <c r="AD9" s="23">
        <v>2.7320000000000002</v>
      </c>
      <c r="AE9" s="11">
        <v>2.7</v>
      </c>
      <c r="AF9" s="14">
        <f t="shared" si="8"/>
        <v>1.1851851851851862E-2</v>
      </c>
      <c r="AG9" s="24">
        <v>222</v>
      </c>
      <c r="AH9" s="6">
        <v>220</v>
      </c>
      <c r="AI9" s="15">
        <f t="shared" si="9"/>
        <v>9.0909090909090905E-3</v>
      </c>
      <c r="AJ9" s="24">
        <v>258</v>
      </c>
      <c r="AK9" s="6">
        <v>256</v>
      </c>
      <c r="AL9" s="14">
        <f t="shared" si="10"/>
        <v>7.8125E-3</v>
      </c>
      <c r="AM9" s="24">
        <v>240</v>
      </c>
      <c r="AN9" s="6">
        <v>238</v>
      </c>
      <c r="AO9" s="14">
        <f t="shared" si="11"/>
        <v>8.4033613445378148E-3</v>
      </c>
      <c r="AP9" s="24">
        <v>603</v>
      </c>
      <c r="AQ9" s="6">
        <v>601</v>
      </c>
      <c r="AR9" s="14">
        <f t="shared" si="12"/>
        <v>3.3277870216306157E-3</v>
      </c>
      <c r="AS9" s="24">
        <v>620</v>
      </c>
      <c r="AT9" s="3">
        <v>618</v>
      </c>
      <c r="AU9" s="14">
        <f t="shared" si="13"/>
        <v>3.2362459546925568E-3</v>
      </c>
      <c r="AV9" s="24">
        <v>639</v>
      </c>
      <c r="AW9" s="6">
        <v>637</v>
      </c>
      <c r="AX9" s="14">
        <f t="shared" si="14"/>
        <v>3.1397174254317113E-3</v>
      </c>
      <c r="AY9" s="26">
        <v>560</v>
      </c>
      <c r="AZ9" s="6">
        <v>558</v>
      </c>
      <c r="BA9" s="14">
        <f t="shared" si="15"/>
        <v>3.5842293906810036E-3</v>
      </c>
      <c r="BB9" s="27">
        <v>564</v>
      </c>
      <c r="BC9" s="6">
        <v>562</v>
      </c>
      <c r="BD9" s="14">
        <f t="shared" si="16"/>
        <v>3.5587188612099642E-3</v>
      </c>
      <c r="BE9" s="24">
        <v>592</v>
      </c>
      <c r="BF9" s="6">
        <v>590</v>
      </c>
      <c r="BG9" s="14">
        <f t="shared" si="17"/>
        <v>3.3898305084745762E-3</v>
      </c>
      <c r="BH9" s="21">
        <v>0.37</v>
      </c>
      <c r="BI9" s="28">
        <v>0.38</v>
      </c>
      <c r="BJ9" s="14">
        <f t="shared" si="18"/>
        <v>2.6315789473684233E-2</v>
      </c>
      <c r="BK9" s="21">
        <v>0.42</v>
      </c>
      <c r="BL9" s="28">
        <v>0.44</v>
      </c>
      <c r="BM9" s="14">
        <f t="shared" si="19"/>
        <v>4.5454545454545497E-2</v>
      </c>
      <c r="BN9" s="21">
        <v>0.38</v>
      </c>
      <c r="BO9" s="28">
        <v>0.38</v>
      </c>
      <c r="BP9" s="14">
        <f t="shared" si="20"/>
        <v>0</v>
      </c>
      <c r="BQ9" s="3">
        <v>50</v>
      </c>
      <c r="BR9" s="3">
        <v>50</v>
      </c>
      <c r="BS9" s="13">
        <f t="shared" si="21"/>
        <v>0</v>
      </c>
      <c r="BT9" s="3">
        <v>50</v>
      </c>
      <c r="BU9" s="3">
        <v>50</v>
      </c>
      <c r="BV9" s="13">
        <f t="shared" si="22"/>
        <v>0</v>
      </c>
      <c r="BW9" s="3">
        <v>50</v>
      </c>
      <c r="BX9" s="3">
        <v>50</v>
      </c>
      <c r="BY9" s="13">
        <f t="shared" si="23"/>
        <v>0</v>
      </c>
      <c r="BZ9">
        <v>0.4</v>
      </c>
      <c r="CA9" s="3">
        <v>0.3</v>
      </c>
      <c r="CB9" s="14">
        <f t="shared" si="24"/>
        <v>0.33333333333333348</v>
      </c>
      <c r="CC9" s="10">
        <v>28.39</v>
      </c>
      <c r="CD9" s="10">
        <v>28.5</v>
      </c>
      <c r="CE9" s="14">
        <f t="shared" si="25"/>
        <v>3.8596491228069978E-3</v>
      </c>
    </row>
    <row r="10" spans="1:83" x14ac:dyDescent="0.35">
      <c r="A10" s="29">
        <v>46104.272465277776</v>
      </c>
      <c r="B10" s="3" t="s">
        <v>25</v>
      </c>
      <c r="C10" s="3">
        <v>60</v>
      </c>
      <c r="D10" s="3">
        <v>5</v>
      </c>
      <c r="E10" s="3">
        <v>20</v>
      </c>
      <c r="F10" s="21">
        <v>403.04</v>
      </c>
      <c r="G10" s="3">
        <v>404.02</v>
      </c>
      <c r="H10" s="14">
        <f t="shared" si="0"/>
        <v>2.4256224939358481E-3</v>
      </c>
      <c r="I10" s="22">
        <v>404.25</v>
      </c>
      <c r="J10" s="3">
        <v>404.02</v>
      </c>
      <c r="K10" s="14">
        <f t="shared" si="1"/>
        <v>5.6927874857684818E-4</v>
      </c>
      <c r="L10" s="22">
        <v>404.94</v>
      </c>
      <c r="M10" s="3">
        <v>405.18</v>
      </c>
      <c r="N10" s="14">
        <f t="shared" si="2"/>
        <v>5.9232933511034383E-4</v>
      </c>
      <c r="O10" s="22">
        <v>232.7</v>
      </c>
      <c r="P10" s="3">
        <v>232.31</v>
      </c>
      <c r="Q10" s="14">
        <f t="shared" si="3"/>
        <v>1.6787912702853358E-3</v>
      </c>
      <c r="R10" s="22">
        <v>233.4</v>
      </c>
      <c r="S10" s="3">
        <v>232.86</v>
      </c>
      <c r="T10" s="14">
        <f t="shared" si="4"/>
        <v>2.3189899510435113E-3</v>
      </c>
      <c r="U10" s="22">
        <v>233.8</v>
      </c>
      <c r="V10" s="10">
        <v>232.8</v>
      </c>
      <c r="W10" s="14">
        <f t="shared" si="5"/>
        <v>4.2955326460481094E-3</v>
      </c>
      <c r="X10" s="23">
        <v>2.5870000000000002</v>
      </c>
      <c r="Y10" s="11">
        <v>2.7</v>
      </c>
      <c r="Z10" s="14">
        <f t="shared" si="6"/>
        <v>4.1851851851851848E-2</v>
      </c>
      <c r="AA10" s="23">
        <v>2.6539999999999999</v>
      </c>
      <c r="AB10" s="11">
        <v>2.7</v>
      </c>
      <c r="AC10" s="14">
        <f t="shared" si="7"/>
        <v>1.7037037037037132E-2</v>
      </c>
      <c r="AD10" s="23">
        <v>2.7269999999999999</v>
      </c>
      <c r="AE10" s="11">
        <v>2.7</v>
      </c>
      <c r="AF10" s="14">
        <f t="shared" si="8"/>
        <v>9.9999999999998857E-3</v>
      </c>
      <c r="AG10" s="24">
        <v>221</v>
      </c>
      <c r="AH10" s="6">
        <v>219</v>
      </c>
      <c r="AI10" s="15">
        <f t="shared" si="9"/>
        <v>9.1324200913242004E-3</v>
      </c>
      <c r="AJ10" s="24">
        <v>256</v>
      </c>
      <c r="AK10" s="6">
        <v>255</v>
      </c>
      <c r="AL10" s="14">
        <f t="shared" si="10"/>
        <v>3.9215686274509803E-3</v>
      </c>
      <c r="AM10" s="24">
        <v>239</v>
      </c>
      <c r="AN10" s="6">
        <v>237</v>
      </c>
      <c r="AO10" s="14">
        <f t="shared" si="11"/>
        <v>8.4388185654008432E-3</v>
      </c>
      <c r="AP10" s="24">
        <v>602</v>
      </c>
      <c r="AQ10" s="6">
        <v>600</v>
      </c>
      <c r="AR10" s="14">
        <f t="shared" si="12"/>
        <v>3.3333333333333335E-3</v>
      </c>
      <c r="AS10" s="24">
        <v>619</v>
      </c>
      <c r="AT10" s="3">
        <v>617</v>
      </c>
      <c r="AU10" s="14">
        <f t="shared" si="13"/>
        <v>3.2414910858995136E-3</v>
      </c>
      <c r="AV10" s="24">
        <v>638</v>
      </c>
      <c r="AW10" s="6">
        <v>636</v>
      </c>
      <c r="AX10" s="14">
        <f t="shared" si="14"/>
        <v>3.1446540880503146E-3</v>
      </c>
      <c r="AY10" s="26">
        <v>560</v>
      </c>
      <c r="AZ10" s="6">
        <v>558</v>
      </c>
      <c r="BA10" s="14">
        <f t="shared" si="15"/>
        <v>3.5842293906810036E-3</v>
      </c>
      <c r="BB10" s="27">
        <v>564</v>
      </c>
      <c r="BC10" s="6">
        <v>562</v>
      </c>
      <c r="BD10" s="14">
        <f t="shared" si="16"/>
        <v>3.5587188612099642E-3</v>
      </c>
      <c r="BE10" s="24">
        <v>591</v>
      </c>
      <c r="BF10" s="6">
        <v>589</v>
      </c>
      <c r="BG10" s="14">
        <f t="shared" si="17"/>
        <v>3.3955857385398981E-3</v>
      </c>
      <c r="BH10" s="21">
        <v>0.37</v>
      </c>
      <c r="BI10" s="28">
        <v>0.38</v>
      </c>
      <c r="BJ10" s="14">
        <f t="shared" si="18"/>
        <v>2.6315789473684233E-2</v>
      </c>
      <c r="BK10" s="21">
        <v>0.41</v>
      </c>
      <c r="BL10" s="28">
        <v>0.44</v>
      </c>
      <c r="BM10" s="14">
        <f t="shared" si="19"/>
        <v>6.8181818181818246E-2</v>
      </c>
      <c r="BN10" s="21">
        <v>0.37</v>
      </c>
      <c r="BO10" s="28">
        <v>0.38</v>
      </c>
      <c r="BP10" s="14">
        <f t="shared" si="20"/>
        <v>2.6315789473684233E-2</v>
      </c>
      <c r="BQ10" s="3">
        <v>50</v>
      </c>
      <c r="BR10" s="3">
        <v>50</v>
      </c>
      <c r="BS10" s="13">
        <f t="shared" si="21"/>
        <v>0</v>
      </c>
      <c r="BT10" s="3">
        <v>50</v>
      </c>
      <c r="BU10" s="3">
        <v>50</v>
      </c>
      <c r="BV10" s="13">
        <f t="shared" si="22"/>
        <v>0</v>
      </c>
      <c r="BW10" s="3">
        <v>50</v>
      </c>
      <c r="BX10" s="3">
        <v>50</v>
      </c>
      <c r="BY10" s="13">
        <f t="shared" si="23"/>
        <v>0</v>
      </c>
      <c r="BZ10">
        <v>0.4</v>
      </c>
      <c r="CA10" s="3">
        <v>0.3</v>
      </c>
      <c r="CB10" s="14">
        <f t="shared" si="24"/>
        <v>0.33333333333333348</v>
      </c>
      <c r="CC10" s="10">
        <v>28.31</v>
      </c>
      <c r="CD10" s="10">
        <v>28.5</v>
      </c>
      <c r="CE10" s="14">
        <f t="shared" si="25"/>
        <v>6.6666666666667113E-3</v>
      </c>
    </row>
    <row r="11" spans="1:83" x14ac:dyDescent="0.35">
      <c r="A11" s="29">
        <v>46104.272465277776</v>
      </c>
      <c r="B11" s="3" t="s">
        <v>25</v>
      </c>
      <c r="C11" s="3">
        <v>60</v>
      </c>
      <c r="D11" s="3">
        <v>6</v>
      </c>
      <c r="E11" s="3">
        <v>22</v>
      </c>
      <c r="F11" s="21">
        <v>403.04</v>
      </c>
      <c r="G11" s="3">
        <v>404.02</v>
      </c>
      <c r="H11" s="14">
        <f t="shared" si="0"/>
        <v>2.4256224939358481E-3</v>
      </c>
      <c r="I11" s="22">
        <v>404.25</v>
      </c>
      <c r="J11" s="3">
        <v>404.02</v>
      </c>
      <c r="K11" s="14">
        <f t="shared" si="1"/>
        <v>5.6927874857684818E-4</v>
      </c>
      <c r="L11" s="22">
        <v>404.94</v>
      </c>
      <c r="M11" s="3">
        <v>405.18</v>
      </c>
      <c r="N11" s="14">
        <f t="shared" si="2"/>
        <v>5.9232933511034383E-4</v>
      </c>
      <c r="O11" s="22">
        <v>232.7</v>
      </c>
      <c r="P11" s="3">
        <v>232.31</v>
      </c>
      <c r="Q11" s="14">
        <f t="shared" si="3"/>
        <v>1.6787912702853358E-3</v>
      </c>
      <c r="R11" s="22">
        <v>233.4</v>
      </c>
      <c r="S11" s="3">
        <v>232.86</v>
      </c>
      <c r="T11" s="14">
        <f t="shared" si="4"/>
        <v>2.3189899510435113E-3</v>
      </c>
      <c r="U11" s="22">
        <v>233.8</v>
      </c>
      <c r="V11" s="10">
        <v>232.8</v>
      </c>
      <c r="W11" s="14">
        <f t="shared" si="5"/>
        <v>4.2955326460481094E-3</v>
      </c>
      <c r="X11" s="23">
        <v>2.5870000000000002</v>
      </c>
      <c r="Y11" s="11">
        <v>2.7</v>
      </c>
      <c r="Z11" s="14">
        <f t="shared" si="6"/>
        <v>4.1851851851851848E-2</v>
      </c>
      <c r="AA11" s="23">
        <v>2.6520000000000001</v>
      </c>
      <c r="AB11" s="11">
        <v>2.6</v>
      </c>
      <c r="AC11" s="14">
        <f t="shared" si="7"/>
        <v>2.0000000000000018E-2</v>
      </c>
      <c r="AD11" s="23">
        <v>2.726</v>
      </c>
      <c r="AE11" s="11">
        <v>2.7</v>
      </c>
      <c r="AF11" s="14">
        <f t="shared" si="8"/>
        <v>9.6296296296295558E-3</v>
      </c>
      <c r="AG11" s="24">
        <v>220</v>
      </c>
      <c r="AH11" s="6">
        <v>218</v>
      </c>
      <c r="AI11" s="15">
        <f t="shared" si="9"/>
        <v>9.1743119266055051E-3</v>
      </c>
      <c r="AJ11" s="22">
        <v>255</v>
      </c>
      <c r="AK11" s="6">
        <v>254</v>
      </c>
      <c r="AL11" s="14">
        <f t="shared" si="10"/>
        <v>3.937007874015748E-3</v>
      </c>
      <c r="AM11" s="24">
        <v>237</v>
      </c>
      <c r="AN11" s="6">
        <v>235</v>
      </c>
      <c r="AO11" s="14">
        <f t="shared" si="11"/>
        <v>8.5106382978723406E-3</v>
      </c>
      <c r="AP11" s="24">
        <v>602</v>
      </c>
      <c r="AQ11" s="6">
        <v>600</v>
      </c>
      <c r="AR11" s="14">
        <f t="shared" si="12"/>
        <v>3.3333333333333335E-3</v>
      </c>
      <c r="AS11" s="24">
        <v>619</v>
      </c>
      <c r="AT11" s="3">
        <v>617</v>
      </c>
      <c r="AU11" s="14">
        <f t="shared" si="13"/>
        <v>3.2414910858995136E-3</v>
      </c>
      <c r="AV11" s="24">
        <v>637</v>
      </c>
      <c r="AW11" s="6">
        <v>635</v>
      </c>
      <c r="AX11" s="14">
        <f t="shared" si="14"/>
        <v>3.1496062992125984E-3</v>
      </c>
      <c r="AY11" s="26">
        <v>560</v>
      </c>
      <c r="AZ11" s="6">
        <v>558</v>
      </c>
      <c r="BA11" s="14">
        <f t="shared" si="15"/>
        <v>3.5842293906810036E-3</v>
      </c>
      <c r="BB11" s="27">
        <v>564</v>
      </c>
      <c r="BC11" s="6">
        <v>562</v>
      </c>
      <c r="BD11" s="14">
        <f t="shared" si="16"/>
        <v>3.5587188612099642E-3</v>
      </c>
      <c r="BE11" s="24">
        <v>591</v>
      </c>
      <c r="BF11" s="6">
        <v>589</v>
      </c>
      <c r="BG11" s="14">
        <f t="shared" si="17"/>
        <v>3.3955857385398981E-3</v>
      </c>
      <c r="BH11" s="21">
        <v>0.37</v>
      </c>
      <c r="BI11" s="28">
        <v>0.38</v>
      </c>
      <c r="BJ11" s="14">
        <f t="shared" si="18"/>
        <v>2.6315789473684233E-2</v>
      </c>
      <c r="BK11" s="21">
        <v>0.41</v>
      </c>
      <c r="BL11" s="28">
        <v>0.41</v>
      </c>
      <c r="BM11" s="14">
        <f t="shared" si="19"/>
        <v>0</v>
      </c>
      <c r="BN11" s="21">
        <v>0.37</v>
      </c>
      <c r="BO11" s="28">
        <v>0.38</v>
      </c>
      <c r="BP11" s="14">
        <f t="shared" si="20"/>
        <v>2.6315789473684233E-2</v>
      </c>
      <c r="BQ11" s="3">
        <v>50</v>
      </c>
      <c r="BR11" s="3">
        <v>50</v>
      </c>
      <c r="BS11" s="13">
        <f t="shared" si="21"/>
        <v>0</v>
      </c>
      <c r="BT11" s="3">
        <v>50</v>
      </c>
      <c r="BU11" s="3">
        <v>50</v>
      </c>
      <c r="BV11" s="13">
        <f t="shared" si="22"/>
        <v>0</v>
      </c>
      <c r="BW11" s="3">
        <v>50</v>
      </c>
      <c r="BX11" s="3">
        <v>50</v>
      </c>
      <c r="BY11" s="13">
        <f t="shared" si="23"/>
        <v>0</v>
      </c>
      <c r="BZ11">
        <v>0.5</v>
      </c>
      <c r="CA11" s="3">
        <v>0.3</v>
      </c>
      <c r="CB11" s="14">
        <f t="shared" si="24"/>
        <v>0.66666666666666674</v>
      </c>
      <c r="CC11" s="10">
        <v>28.39</v>
      </c>
      <c r="CD11" s="10">
        <v>28.5</v>
      </c>
      <c r="CE11" s="14">
        <f t="shared" si="25"/>
        <v>3.8596491228069978E-3</v>
      </c>
    </row>
    <row r="12" spans="1:83" x14ac:dyDescent="0.35">
      <c r="A12" s="29">
        <v>46104.272465277776</v>
      </c>
      <c r="B12" s="3" t="s">
        <v>25</v>
      </c>
      <c r="C12" s="3">
        <v>60</v>
      </c>
      <c r="D12" s="3">
        <v>7</v>
      </c>
      <c r="E12" s="3">
        <v>24</v>
      </c>
      <c r="F12" s="21">
        <v>402.86</v>
      </c>
      <c r="G12" s="3">
        <v>404.02</v>
      </c>
      <c r="H12" s="14">
        <f t="shared" si="0"/>
        <v>2.8711449928220589E-3</v>
      </c>
      <c r="I12" s="22">
        <v>404.25</v>
      </c>
      <c r="J12" s="3">
        <v>404.02</v>
      </c>
      <c r="K12" s="14">
        <f t="shared" si="1"/>
        <v>5.6927874857684818E-4</v>
      </c>
      <c r="L12" s="22">
        <v>404.77</v>
      </c>
      <c r="M12" s="3">
        <v>405.18</v>
      </c>
      <c r="N12" s="14">
        <f t="shared" si="2"/>
        <v>1.011895947480194E-3</v>
      </c>
      <c r="O12" s="22">
        <v>232.6</v>
      </c>
      <c r="P12" s="3">
        <v>232.31</v>
      </c>
      <c r="Q12" s="14">
        <f t="shared" si="3"/>
        <v>1.2483319702121822E-3</v>
      </c>
      <c r="R12" s="22">
        <v>233.4</v>
      </c>
      <c r="S12" s="3">
        <v>232.86</v>
      </c>
      <c r="T12" s="14">
        <f t="shared" si="4"/>
        <v>2.3189899510435113E-3</v>
      </c>
      <c r="U12" s="22">
        <v>233.7</v>
      </c>
      <c r="V12" s="10">
        <v>232.8</v>
      </c>
      <c r="W12" s="14">
        <f t="shared" si="5"/>
        <v>3.8659793814432011E-3</v>
      </c>
      <c r="X12" s="23">
        <v>2.5830000000000002</v>
      </c>
      <c r="Y12" s="11">
        <v>2.7</v>
      </c>
      <c r="Z12" s="14">
        <f t="shared" si="6"/>
        <v>4.3333333333333328E-2</v>
      </c>
      <c r="AA12" s="23">
        <v>2.649</v>
      </c>
      <c r="AB12" s="11">
        <v>2.7</v>
      </c>
      <c r="AC12" s="14">
        <f t="shared" si="7"/>
        <v>1.8888888888888945E-2</v>
      </c>
      <c r="AD12" s="23">
        <v>2.7229999999999999</v>
      </c>
      <c r="AE12" s="11">
        <v>2.7</v>
      </c>
      <c r="AF12" s="14">
        <f t="shared" si="8"/>
        <v>8.5185185185184028E-3</v>
      </c>
      <c r="AG12" s="24">
        <v>220</v>
      </c>
      <c r="AH12" s="6">
        <v>219</v>
      </c>
      <c r="AI12" s="15">
        <f t="shared" si="9"/>
        <v>4.5662100456621002E-3</v>
      </c>
      <c r="AJ12" s="22">
        <v>255</v>
      </c>
      <c r="AK12" s="6">
        <v>254</v>
      </c>
      <c r="AL12" s="14">
        <f t="shared" si="10"/>
        <v>3.937007874015748E-3</v>
      </c>
      <c r="AM12" s="24">
        <v>237</v>
      </c>
      <c r="AN12" s="6">
        <v>235</v>
      </c>
      <c r="AO12" s="14">
        <f t="shared" si="11"/>
        <v>8.5106382978723406E-3</v>
      </c>
      <c r="AP12" s="24">
        <v>601</v>
      </c>
      <c r="AQ12" s="6">
        <v>599</v>
      </c>
      <c r="AR12" s="14">
        <f t="shared" si="12"/>
        <v>3.3388981636060101E-3</v>
      </c>
      <c r="AS12" s="24">
        <v>618</v>
      </c>
      <c r="AT12" s="3">
        <v>616</v>
      </c>
      <c r="AU12" s="14">
        <f t="shared" si="13"/>
        <v>3.246753246753247E-3</v>
      </c>
      <c r="AV12" s="25">
        <v>636</v>
      </c>
      <c r="AW12" s="6">
        <v>634</v>
      </c>
      <c r="AX12" s="14">
        <f t="shared" si="14"/>
        <v>3.1545741324921135E-3</v>
      </c>
      <c r="AY12" s="26">
        <v>559</v>
      </c>
      <c r="AZ12" s="6">
        <v>557</v>
      </c>
      <c r="BA12" s="14">
        <f t="shared" si="15"/>
        <v>3.5906642728904849E-3</v>
      </c>
      <c r="BB12" s="27">
        <v>563</v>
      </c>
      <c r="BC12" s="6">
        <v>561</v>
      </c>
      <c r="BD12" s="14">
        <f t="shared" si="16"/>
        <v>3.5650623885918001E-3</v>
      </c>
      <c r="BE12" s="24">
        <v>591</v>
      </c>
      <c r="BF12" s="6">
        <v>589</v>
      </c>
      <c r="BG12" s="14">
        <f t="shared" si="17"/>
        <v>3.3955857385398981E-3</v>
      </c>
      <c r="BH12" s="21">
        <v>0.37</v>
      </c>
      <c r="BI12" s="28">
        <v>0.38</v>
      </c>
      <c r="BJ12" s="14">
        <f t="shared" si="18"/>
        <v>2.6315789473684233E-2</v>
      </c>
      <c r="BK12" s="21">
        <v>0.41</v>
      </c>
      <c r="BL12" s="28">
        <v>0.41</v>
      </c>
      <c r="BM12" s="14">
        <f t="shared" si="19"/>
        <v>0</v>
      </c>
      <c r="BN12" s="21">
        <v>0.37</v>
      </c>
      <c r="BO12" s="28">
        <v>0.38</v>
      </c>
      <c r="BP12" s="14">
        <f t="shared" si="20"/>
        <v>2.6315789473684233E-2</v>
      </c>
      <c r="BQ12" s="3">
        <v>50</v>
      </c>
      <c r="BR12" s="3">
        <v>50</v>
      </c>
      <c r="BS12" s="13">
        <f t="shared" si="21"/>
        <v>0</v>
      </c>
      <c r="BT12" s="3">
        <v>50</v>
      </c>
      <c r="BU12" s="3">
        <v>50</v>
      </c>
      <c r="BV12" s="13">
        <f t="shared" si="22"/>
        <v>0</v>
      </c>
      <c r="BW12" s="3">
        <v>50</v>
      </c>
      <c r="BX12" s="3">
        <v>50</v>
      </c>
      <c r="BY12" s="13">
        <f t="shared" si="23"/>
        <v>0</v>
      </c>
      <c r="BZ12">
        <v>0.5</v>
      </c>
      <c r="CA12" s="3">
        <v>0.3</v>
      </c>
      <c r="CB12" s="14">
        <f t="shared" si="24"/>
        <v>0.66666666666666674</v>
      </c>
      <c r="CC12" s="10">
        <v>28.31</v>
      </c>
      <c r="CD12" s="10">
        <v>28.5</v>
      </c>
      <c r="CE12" s="14">
        <f t="shared" si="25"/>
        <v>6.6666666666667113E-3</v>
      </c>
    </row>
    <row r="13" spans="1:83" x14ac:dyDescent="0.35">
      <c r="A13" s="29">
        <v>46104.272465277776</v>
      </c>
      <c r="B13" s="3" t="s">
        <v>25</v>
      </c>
      <c r="C13" s="3">
        <v>60</v>
      </c>
      <c r="D13" s="3">
        <v>8</v>
      </c>
      <c r="E13" s="3">
        <v>26</v>
      </c>
      <c r="F13" s="21">
        <v>402.86</v>
      </c>
      <c r="G13" s="3">
        <v>404.02</v>
      </c>
      <c r="H13" s="14">
        <f t="shared" si="0"/>
        <v>2.8711449928220589E-3</v>
      </c>
      <c r="I13" s="22">
        <v>404.08</v>
      </c>
      <c r="J13" s="3">
        <v>404.02</v>
      </c>
      <c r="K13" s="14">
        <f t="shared" si="1"/>
        <v>1.4850749962873688E-4</v>
      </c>
      <c r="L13" s="22">
        <v>404.77</v>
      </c>
      <c r="M13" s="3">
        <v>405.18</v>
      </c>
      <c r="N13" s="14">
        <f t="shared" si="2"/>
        <v>1.011895947480194E-3</v>
      </c>
      <c r="O13" s="22">
        <v>232.6</v>
      </c>
      <c r="P13" s="3">
        <v>232.31</v>
      </c>
      <c r="Q13" s="14">
        <f t="shared" si="3"/>
        <v>1.2483319702121822E-3</v>
      </c>
      <c r="R13" s="22">
        <v>233.3</v>
      </c>
      <c r="S13" s="3">
        <v>232.86</v>
      </c>
      <c r="T13" s="14">
        <f t="shared" si="4"/>
        <v>1.8895473675169532E-3</v>
      </c>
      <c r="U13" s="22">
        <v>233.7</v>
      </c>
      <c r="V13" s="10">
        <v>232.8</v>
      </c>
      <c r="W13" s="14">
        <f t="shared" si="5"/>
        <v>3.8659793814432011E-3</v>
      </c>
      <c r="X13" s="23">
        <v>2.585</v>
      </c>
      <c r="Y13" s="11">
        <v>2.7</v>
      </c>
      <c r="Z13" s="14">
        <f t="shared" si="6"/>
        <v>4.2592592592592668E-2</v>
      </c>
      <c r="AA13" s="23">
        <v>2.6520000000000001</v>
      </c>
      <c r="AB13" s="11">
        <v>2.7</v>
      </c>
      <c r="AC13" s="14">
        <f t="shared" si="7"/>
        <v>1.7777777777777792E-2</v>
      </c>
      <c r="AD13" s="23">
        <v>2.7250000000000001</v>
      </c>
      <c r="AE13" s="11">
        <v>2.7</v>
      </c>
      <c r="AF13" s="14">
        <f t="shared" si="8"/>
        <v>9.2592592592592258E-3</v>
      </c>
      <c r="AG13" s="24">
        <v>220</v>
      </c>
      <c r="AH13" s="6">
        <v>219</v>
      </c>
      <c r="AI13" s="15">
        <f t="shared" si="9"/>
        <v>4.5662100456621002E-3</v>
      </c>
      <c r="AJ13" s="22">
        <v>255</v>
      </c>
      <c r="AK13" s="6">
        <v>254</v>
      </c>
      <c r="AL13" s="14">
        <f t="shared" si="10"/>
        <v>3.937007874015748E-3</v>
      </c>
      <c r="AM13" s="24">
        <v>237</v>
      </c>
      <c r="AN13" s="6">
        <v>235</v>
      </c>
      <c r="AO13" s="14">
        <f t="shared" si="11"/>
        <v>8.5106382978723406E-3</v>
      </c>
      <c r="AP13" s="24">
        <v>601</v>
      </c>
      <c r="AQ13" s="6">
        <v>599</v>
      </c>
      <c r="AR13" s="14">
        <f t="shared" si="12"/>
        <v>3.3388981636060101E-3</v>
      </c>
      <c r="AS13" s="24">
        <v>619</v>
      </c>
      <c r="AT13" s="3">
        <v>617</v>
      </c>
      <c r="AU13" s="14">
        <f t="shared" si="13"/>
        <v>3.2414910858995136E-3</v>
      </c>
      <c r="AV13" s="24">
        <v>637</v>
      </c>
      <c r="AW13" s="6">
        <v>635</v>
      </c>
      <c r="AX13" s="14">
        <f t="shared" si="14"/>
        <v>3.1496062992125984E-3</v>
      </c>
      <c r="AY13" s="26">
        <v>560</v>
      </c>
      <c r="AZ13" s="6">
        <v>558</v>
      </c>
      <c r="BA13" s="14">
        <f t="shared" si="15"/>
        <v>3.5842293906810036E-3</v>
      </c>
      <c r="BB13" s="27">
        <v>564</v>
      </c>
      <c r="BC13" s="6">
        <v>562</v>
      </c>
      <c r="BD13" s="14">
        <f t="shared" si="16"/>
        <v>3.5587188612099642E-3</v>
      </c>
      <c r="BE13" s="24">
        <v>591</v>
      </c>
      <c r="BF13" s="6">
        <v>589</v>
      </c>
      <c r="BG13" s="14">
        <f t="shared" si="17"/>
        <v>3.3955857385398981E-3</v>
      </c>
      <c r="BH13" s="21">
        <v>0.37</v>
      </c>
      <c r="BI13" s="28">
        <v>0.38</v>
      </c>
      <c r="BJ13" s="14">
        <f t="shared" si="18"/>
        <v>2.6315789473684233E-2</v>
      </c>
      <c r="BK13" s="21">
        <v>0.41</v>
      </c>
      <c r="BL13" s="28">
        <v>0.41</v>
      </c>
      <c r="BM13" s="14">
        <f t="shared" si="19"/>
        <v>0</v>
      </c>
      <c r="BN13" s="21">
        <v>0.37</v>
      </c>
      <c r="BO13" s="28">
        <v>0.38</v>
      </c>
      <c r="BP13" s="14">
        <f t="shared" si="20"/>
        <v>2.6315789473684233E-2</v>
      </c>
      <c r="BQ13" s="3">
        <v>50</v>
      </c>
      <c r="BR13" s="3">
        <v>50</v>
      </c>
      <c r="BS13" s="13">
        <f t="shared" si="21"/>
        <v>0</v>
      </c>
      <c r="BT13" s="3">
        <v>50</v>
      </c>
      <c r="BU13" s="3">
        <v>50</v>
      </c>
      <c r="BV13" s="13">
        <f t="shared" si="22"/>
        <v>0</v>
      </c>
      <c r="BW13" s="3">
        <v>50</v>
      </c>
      <c r="BX13" s="3">
        <v>50</v>
      </c>
      <c r="BY13" s="13">
        <f t="shared" si="23"/>
        <v>0</v>
      </c>
      <c r="BZ13">
        <v>0.4</v>
      </c>
      <c r="CA13" s="3">
        <v>0.3</v>
      </c>
      <c r="CB13" s="14">
        <f t="shared" si="24"/>
        <v>0.33333333333333348</v>
      </c>
      <c r="CC13" s="10">
        <v>28.31</v>
      </c>
      <c r="CD13" s="10">
        <v>28.5</v>
      </c>
      <c r="CE13" s="14">
        <f t="shared" si="25"/>
        <v>6.6666666666667113E-3</v>
      </c>
    </row>
    <row r="14" spans="1:83" x14ac:dyDescent="0.35">
      <c r="A14" s="29">
        <v>46104.272465277776</v>
      </c>
      <c r="B14" s="3" t="s">
        <v>25</v>
      </c>
      <c r="C14" s="3">
        <v>60</v>
      </c>
      <c r="D14" s="3">
        <v>9</v>
      </c>
      <c r="E14" s="3">
        <v>43</v>
      </c>
      <c r="F14" s="21">
        <v>403.04</v>
      </c>
      <c r="G14" s="3">
        <v>404.02</v>
      </c>
      <c r="H14" s="14">
        <f t="shared" si="0"/>
        <v>2.4256224939358481E-3</v>
      </c>
      <c r="I14" s="22">
        <v>404.25</v>
      </c>
      <c r="J14" s="3">
        <v>404.02</v>
      </c>
      <c r="K14" s="14">
        <f t="shared" si="1"/>
        <v>5.6927874857684818E-4</v>
      </c>
      <c r="L14" s="22">
        <v>404.94</v>
      </c>
      <c r="M14" s="3">
        <v>405.18</v>
      </c>
      <c r="N14" s="14">
        <f t="shared" si="2"/>
        <v>5.9232933511034383E-4</v>
      </c>
      <c r="O14" s="22">
        <v>232.7</v>
      </c>
      <c r="P14" s="3">
        <v>232.31</v>
      </c>
      <c r="Q14" s="14">
        <f t="shared" si="3"/>
        <v>1.6787912702853358E-3</v>
      </c>
      <c r="R14" s="22">
        <v>233.4</v>
      </c>
      <c r="S14" s="3">
        <v>232.86</v>
      </c>
      <c r="T14" s="14">
        <f t="shared" si="4"/>
        <v>2.3189899510435113E-3</v>
      </c>
      <c r="U14" s="22">
        <v>233.8</v>
      </c>
      <c r="V14" s="10">
        <v>232.8</v>
      </c>
      <c r="W14" s="14">
        <f t="shared" si="5"/>
        <v>4.2955326460481094E-3</v>
      </c>
      <c r="X14" s="23">
        <v>2.5840000000000001</v>
      </c>
      <c r="Y14" s="11">
        <v>2.7</v>
      </c>
      <c r="Z14" s="14">
        <f t="shared" si="6"/>
        <v>4.2962962962963001E-2</v>
      </c>
      <c r="AA14" s="23">
        <v>2.65</v>
      </c>
      <c r="AB14" s="11">
        <v>2.7</v>
      </c>
      <c r="AC14" s="14">
        <f t="shared" si="7"/>
        <v>1.8518518518518615E-2</v>
      </c>
      <c r="AD14" s="23">
        <v>2.7240000000000002</v>
      </c>
      <c r="AE14" s="11">
        <v>2.7</v>
      </c>
      <c r="AF14" s="14">
        <f t="shared" si="8"/>
        <v>8.8888888888888958E-3</v>
      </c>
      <c r="AG14" s="24">
        <v>219</v>
      </c>
      <c r="AH14" s="6">
        <v>218</v>
      </c>
      <c r="AI14" s="15">
        <f t="shared" si="9"/>
        <v>4.5871559633027525E-3</v>
      </c>
      <c r="AJ14" s="22">
        <v>254</v>
      </c>
      <c r="AK14" s="6">
        <v>253</v>
      </c>
      <c r="AL14" s="14">
        <f t="shared" si="10"/>
        <v>3.952569169960474E-3</v>
      </c>
      <c r="AM14" s="24">
        <v>236</v>
      </c>
      <c r="AN14" s="6">
        <v>234</v>
      </c>
      <c r="AO14" s="14">
        <f t="shared" si="11"/>
        <v>8.5470085470085479E-3</v>
      </c>
      <c r="AP14" s="24">
        <v>601</v>
      </c>
      <c r="AQ14" s="6">
        <v>599</v>
      </c>
      <c r="AR14" s="14">
        <f t="shared" si="12"/>
        <v>3.3388981636060101E-3</v>
      </c>
      <c r="AS14" s="24">
        <v>619</v>
      </c>
      <c r="AT14" s="3">
        <v>617</v>
      </c>
      <c r="AU14" s="14">
        <f t="shared" si="13"/>
        <v>3.2414910858995136E-3</v>
      </c>
      <c r="AV14" s="24">
        <v>637</v>
      </c>
      <c r="AW14" s="6">
        <v>635</v>
      </c>
      <c r="AX14" s="14">
        <f t="shared" si="14"/>
        <v>3.1496062992125984E-3</v>
      </c>
      <c r="AY14" s="26">
        <v>560</v>
      </c>
      <c r="AZ14" s="6">
        <v>558</v>
      </c>
      <c r="BA14" s="14">
        <f t="shared" si="15"/>
        <v>3.5842293906810036E-3</v>
      </c>
      <c r="BB14" s="27">
        <v>564</v>
      </c>
      <c r="BC14" s="6">
        <v>562</v>
      </c>
      <c r="BD14" s="14">
        <f t="shared" si="16"/>
        <v>3.5587188612099642E-3</v>
      </c>
      <c r="BE14" s="24">
        <v>591</v>
      </c>
      <c r="BF14" s="6">
        <v>589</v>
      </c>
      <c r="BG14" s="14">
        <f t="shared" si="17"/>
        <v>3.3955857385398981E-3</v>
      </c>
      <c r="BH14" s="21">
        <v>0.36</v>
      </c>
      <c r="BI14" s="28">
        <v>0.36</v>
      </c>
      <c r="BJ14" s="14">
        <f t="shared" si="18"/>
        <v>0</v>
      </c>
      <c r="BK14" s="21">
        <v>0.41</v>
      </c>
      <c r="BL14" s="28">
        <v>0.41</v>
      </c>
      <c r="BM14" s="14">
        <f t="shared" si="19"/>
        <v>0</v>
      </c>
      <c r="BN14" s="21">
        <v>0.37</v>
      </c>
      <c r="BO14" s="28">
        <v>0.38</v>
      </c>
      <c r="BP14" s="14">
        <f t="shared" si="20"/>
        <v>2.6315789473684233E-2</v>
      </c>
      <c r="BQ14" s="3">
        <v>50</v>
      </c>
      <c r="BR14" s="3">
        <v>50</v>
      </c>
      <c r="BS14" s="13">
        <f t="shared" si="21"/>
        <v>0</v>
      </c>
      <c r="BT14" s="3">
        <v>50</v>
      </c>
      <c r="BU14" s="3">
        <v>50</v>
      </c>
      <c r="BV14" s="13">
        <f t="shared" si="22"/>
        <v>0</v>
      </c>
      <c r="BW14" s="3">
        <v>50</v>
      </c>
      <c r="BX14" s="3">
        <v>50</v>
      </c>
      <c r="BY14" s="13">
        <f t="shared" si="23"/>
        <v>0</v>
      </c>
      <c r="BZ14">
        <v>0.4</v>
      </c>
      <c r="CA14" s="3">
        <v>0.3</v>
      </c>
      <c r="CB14" s="14">
        <f t="shared" si="24"/>
        <v>0.33333333333333348</v>
      </c>
      <c r="CC14" s="10">
        <v>28.33</v>
      </c>
      <c r="CD14" s="10">
        <v>28.5</v>
      </c>
      <c r="CE14" s="14">
        <f t="shared" si="25"/>
        <v>5.9649122807018144E-3</v>
      </c>
    </row>
    <row r="15" spans="1:83" x14ac:dyDescent="0.35">
      <c r="A15" s="29">
        <v>46104.272465277776</v>
      </c>
      <c r="B15" s="3" t="s">
        <v>25</v>
      </c>
      <c r="C15" s="3">
        <v>60</v>
      </c>
      <c r="D15" s="3">
        <v>10</v>
      </c>
      <c r="E15" s="3">
        <v>57</v>
      </c>
      <c r="F15" s="21">
        <v>403.21</v>
      </c>
      <c r="G15" s="3">
        <v>404.02</v>
      </c>
      <c r="H15" s="14">
        <f t="shared" si="0"/>
        <v>2.0048512449878774E-3</v>
      </c>
      <c r="I15" s="22">
        <v>404.42</v>
      </c>
      <c r="J15" s="3">
        <v>404.02</v>
      </c>
      <c r="K15" s="14">
        <f t="shared" si="1"/>
        <v>9.9004999752495956E-4</v>
      </c>
      <c r="L15" s="22">
        <v>404.94</v>
      </c>
      <c r="M15" s="3">
        <v>405.18</v>
      </c>
      <c r="N15" s="14">
        <f t="shared" si="2"/>
        <v>5.9232933511034383E-4</v>
      </c>
      <c r="O15" s="22">
        <v>232.8</v>
      </c>
      <c r="P15" s="3">
        <v>232.31</v>
      </c>
      <c r="Q15" s="14">
        <f t="shared" si="3"/>
        <v>2.1092505703586119E-3</v>
      </c>
      <c r="R15" s="22">
        <v>233.5</v>
      </c>
      <c r="S15" s="3">
        <v>232.86</v>
      </c>
      <c r="T15" s="14">
        <f t="shared" si="4"/>
        <v>2.7484325345700691E-3</v>
      </c>
      <c r="U15" s="22">
        <v>233.8</v>
      </c>
      <c r="V15" s="10">
        <v>232.8</v>
      </c>
      <c r="W15" s="14">
        <f t="shared" si="5"/>
        <v>4.2955326460481094E-3</v>
      </c>
      <c r="X15" s="23">
        <v>2.589</v>
      </c>
      <c r="Y15" s="11">
        <v>2.6</v>
      </c>
      <c r="Z15" s="14">
        <f t="shared" si="6"/>
        <v>4.2307692307692775E-3</v>
      </c>
      <c r="AA15" s="23">
        <v>2.6539999999999999</v>
      </c>
      <c r="AB15" s="11">
        <v>2.7</v>
      </c>
      <c r="AC15" s="14">
        <f t="shared" si="7"/>
        <v>1.7037037037037132E-2</v>
      </c>
      <c r="AD15" s="23">
        <v>2.7229999999999999</v>
      </c>
      <c r="AE15" s="11">
        <v>2.7</v>
      </c>
      <c r="AF15" s="14">
        <f t="shared" si="8"/>
        <v>8.5185185185184028E-3</v>
      </c>
      <c r="AG15" s="24">
        <v>219</v>
      </c>
      <c r="AH15" s="6">
        <v>218</v>
      </c>
      <c r="AI15" s="15">
        <f t="shared" si="9"/>
        <v>4.5871559633027525E-3</v>
      </c>
      <c r="AJ15" s="22">
        <v>255</v>
      </c>
      <c r="AK15" s="6">
        <v>254</v>
      </c>
      <c r="AL15" s="14">
        <f t="shared" si="10"/>
        <v>3.937007874015748E-3</v>
      </c>
      <c r="AM15" s="24">
        <v>236</v>
      </c>
      <c r="AN15" s="6">
        <v>234</v>
      </c>
      <c r="AO15" s="14">
        <f t="shared" si="11"/>
        <v>8.5470085470085479E-3</v>
      </c>
      <c r="AP15" s="24">
        <v>603</v>
      </c>
      <c r="AQ15" s="6">
        <v>601</v>
      </c>
      <c r="AR15" s="14">
        <f t="shared" si="12"/>
        <v>3.3277870216306157E-3</v>
      </c>
      <c r="AS15" s="24">
        <v>620</v>
      </c>
      <c r="AT15" s="3">
        <v>618</v>
      </c>
      <c r="AU15" s="14">
        <f t="shared" si="13"/>
        <v>3.2362459546925568E-3</v>
      </c>
      <c r="AV15" s="24">
        <v>637</v>
      </c>
      <c r="AW15" s="6">
        <v>635</v>
      </c>
      <c r="AX15" s="14">
        <f t="shared" si="14"/>
        <v>3.1496062992125984E-3</v>
      </c>
      <c r="AY15" s="26">
        <v>561</v>
      </c>
      <c r="AZ15" s="6">
        <v>559</v>
      </c>
      <c r="BA15" s="14">
        <f t="shared" si="15"/>
        <v>3.5778175313059034E-3</v>
      </c>
      <c r="BB15" s="27">
        <v>565</v>
      </c>
      <c r="BC15" s="6">
        <v>563</v>
      </c>
      <c r="BD15" s="14">
        <f t="shared" si="16"/>
        <v>3.552397868561279E-3</v>
      </c>
      <c r="BE15" s="24">
        <v>591</v>
      </c>
      <c r="BF15" s="6">
        <v>589</v>
      </c>
      <c r="BG15" s="14">
        <f t="shared" si="17"/>
        <v>3.3955857385398981E-3</v>
      </c>
      <c r="BH15" s="21">
        <v>0.36</v>
      </c>
      <c r="BI15" s="28">
        <v>0.36</v>
      </c>
      <c r="BJ15" s="14">
        <f t="shared" si="18"/>
        <v>0</v>
      </c>
      <c r="BK15" s="21">
        <v>0.41</v>
      </c>
      <c r="BL15" s="28">
        <v>0.41</v>
      </c>
      <c r="BM15" s="14">
        <f t="shared" si="19"/>
        <v>0</v>
      </c>
      <c r="BN15" s="21">
        <v>0.37</v>
      </c>
      <c r="BO15" s="28">
        <v>0.38</v>
      </c>
      <c r="BP15" s="14">
        <f t="shared" si="20"/>
        <v>2.6315789473684233E-2</v>
      </c>
      <c r="BQ15" s="3">
        <v>50</v>
      </c>
      <c r="BR15" s="3">
        <v>50</v>
      </c>
      <c r="BS15" s="13">
        <f t="shared" si="21"/>
        <v>0</v>
      </c>
      <c r="BT15" s="3">
        <v>50</v>
      </c>
      <c r="BU15" s="3">
        <v>50</v>
      </c>
      <c r="BV15" s="13">
        <f t="shared" si="22"/>
        <v>0</v>
      </c>
      <c r="BW15" s="3">
        <v>50</v>
      </c>
      <c r="BX15" s="3">
        <v>50</v>
      </c>
      <c r="BY15" s="13">
        <f t="shared" si="23"/>
        <v>0</v>
      </c>
      <c r="BZ15">
        <v>0.3</v>
      </c>
      <c r="CA15" s="3">
        <v>0.3</v>
      </c>
      <c r="CB15" s="14">
        <f t="shared" si="24"/>
        <v>0</v>
      </c>
      <c r="CC15" s="10">
        <v>28.37</v>
      </c>
      <c r="CD15" s="10">
        <v>28.5</v>
      </c>
      <c r="CE15" s="14">
        <f t="shared" si="25"/>
        <v>4.5614035087718947E-3</v>
      </c>
    </row>
    <row r="16" spans="1:83" x14ac:dyDescent="0.35">
      <c r="A16" s="29">
        <v>46104.272465277776</v>
      </c>
      <c r="B16" s="3" t="s">
        <v>25</v>
      </c>
      <c r="C16" s="3">
        <v>60</v>
      </c>
      <c r="D16" s="3">
        <v>11</v>
      </c>
      <c r="E16" s="3">
        <v>69</v>
      </c>
      <c r="F16" s="21">
        <v>403.04</v>
      </c>
      <c r="G16" s="3">
        <v>404.02</v>
      </c>
      <c r="H16" s="14">
        <f t="shared" si="0"/>
        <v>2.4256224939358481E-3</v>
      </c>
      <c r="I16" s="22">
        <v>404.42</v>
      </c>
      <c r="J16" s="3">
        <v>404.02</v>
      </c>
      <c r="K16" s="14">
        <f t="shared" si="1"/>
        <v>9.9004999752495956E-4</v>
      </c>
      <c r="L16" s="22">
        <v>404.94</v>
      </c>
      <c r="M16" s="3">
        <v>405.18</v>
      </c>
      <c r="N16" s="14">
        <f t="shared" si="2"/>
        <v>5.9232933511034383E-4</v>
      </c>
      <c r="O16" s="22">
        <v>232.7</v>
      </c>
      <c r="P16" s="3">
        <v>232.31</v>
      </c>
      <c r="Q16" s="14">
        <f t="shared" si="3"/>
        <v>1.6787912702853358E-3</v>
      </c>
      <c r="R16" s="22">
        <v>233.5</v>
      </c>
      <c r="S16" s="3">
        <v>232.86</v>
      </c>
      <c r="T16" s="14">
        <f t="shared" si="4"/>
        <v>2.7484325345700691E-3</v>
      </c>
      <c r="U16" s="22">
        <v>233.8</v>
      </c>
      <c r="V16" s="10">
        <v>232.8</v>
      </c>
      <c r="W16" s="14">
        <f t="shared" si="5"/>
        <v>4.2955326460481094E-3</v>
      </c>
      <c r="X16" s="23">
        <v>2.5880000000000001</v>
      </c>
      <c r="Y16" s="11">
        <v>2.6</v>
      </c>
      <c r="Z16" s="14">
        <f t="shared" si="6"/>
        <v>4.6153846153846193E-3</v>
      </c>
      <c r="AA16" s="23">
        <v>2.653</v>
      </c>
      <c r="AB16" s="11">
        <v>2.7</v>
      </c>
      <c r="AC16" s="14">
        <f t="shared" si="7"/>
        <v>1.7407407407407462E-2</v>
      </c>
      <c r="AD16" s="23">
        <v>2.726</v>
      </c>
      <c r="AE16" s="11">
        <v>2.7</v>
      </c>
      <c r="AF16" s="14">
        <f t="shared" si="8"/>
        <v>9.6296296296295558E-3</v>
      </c>
      <c r="AG16" s="24">
        <v>219</v>
      </c>
      <c r="AH16" s="6">
        <v>218</v>
      </c>
      <c r="AI16" s="15">
        <f t="shared" si="9"/>
        <v>4.5871559633027525E-3</v>
      </c>
      <c r="AJ16" s="22">
        <v>254</v>
      </c>
      <c r="AK16" s="6">
        <v>253</v>
      </c>
      <c r="AL16" s="14">
        <f t="shared" si="10"/>
        <v>3.952569169960474E-3</v>
      </c>
      <c r="AM16" s="24">
        <v>236</v>
      </c>
      <c r="AN16" s="6">
        <v>234</v>
      </c>
      <c r="AO16" s="14">
        <f t="shared" si="11"/>
        <v>8.5470085470085479E-3</v>
      </c>
      <c r="AP16" s="24">
        <v>602</v>
      </c>
      <c r="AQ16" s="6">
        <v>601</v>
      </c>
      <c r="AR16" s="14">
        <f t="shared" si="12"/>
        <v>1.6638935108153079E-3</v>
      </c>
      <c r="AS16" s="24">
        <v>619</v>
      </c>
      <c r="AT16" s="3">
        <v>617</v>
      </c>
      <c r="AU16" s="14">
        <f t="shared" si="13"/>
        <v>3.2414910858995136E-3</v>
      </c>
      <c r="AV16" s="24">
        <v>637</v>
      </c>
      <c r="AW16" s="6">
        <v>635</v>
      </c>
      <c r="AX16" s="14">
        <f t="shared" si="14"/>
        <v>3.1496062992125984E-3</v>
      </c>
      <c r="AY16" s="26">
        <v>561</v>
      </c>
      <c r="AZ16" s="6">
        <v>559</v>
      </c>
      <c r="BA16" s="14">
        <f t="shared" si="15"/>
        <v>3.5778175313059034E-3</v>
      </c>
      <c r="BB16" s="27">
        <v>565</v>
      </c>
      <c r="BC16" s="6">
        <v>563</v>
      </c>
      <c r="BD16" s="14">
        <f t="shared" si="16"/>
        <v>3.552397868561279E-3</v>
      </c>
      <c r="BE16" s="24">
        <v>592</v>
      </c>
      <c r="BF16" s="6">
        <v>590</v>
      </c>
      <c r="BG16" s="14">
        <f t="shared" si="17"/>
        <v>3.3898305084745762E-3</v>
      </c>
      <c r="BH16" s="21">
        <v>0.36</v>
      </c>
      <c r="BI16" s="28">
        <v>0.36</v>
      </c>
      <c r="BJ16" s="14">
        <f t="shared" si="18"/>
        <v>0</v>
      </c>
      <c r="BK16" s="21">
        <v>0.41</v>
      </c>
      <c r="BL16" s="28">
        <v>0.41</v>
      </c>
      <c r="BM16" s="14">
        <f t="shared" si="19"/>
        <v>0</v>
      </c>
      <c r="BN16" s="21">
        <v>0.37</v>
      </c>
      <c r="BO16" s="28">
        <v>0.38</v>
      </c>
      <c r="BP16" s="14">
        <f t="shared" si="20"/>
        <v>2.6315789473684233E-2</v>
      </c>
      <c r="BQ16" s="3">
        <v>50</v>
      </c>
      <c r="BR16" s="3">
        <v>50</v>
      </c>
      <c r="BS16" s="13">
        <f t="shared" si="21"/>
        <v>0</v>
      </c>
      <c r="BT16" s="3">
        <v>50</v>
      </c>
      <c r="BU16" s="3">
        <v>50</v>
      </c>
      <c r="BV16" s="13">
        <f t="shared" si="22"/>
        <v>0</v>
      </c>
      <c r="BW16" s="3">
        <v>50</v>
      </c>
      <c r="BX16" s="3">
        <v>50</v>
      </c>
      <c r="BY16" s="13">
        <f t="shared" si="23"/>
        <v>0</v>
      </c>
      <c r="BZ16">
        <v>0.4</v>
      </c>
      <c r="CA16" s="3">
        <v>0.3</v>
      </c>
      <c r="CB16" s="14">
        <f t="shared" si="24"/>
        <v>0.33333333333333348</v>
      </c>
      <c r="CC16" s="10">
        <v>28.37</v>
      </c>
      <c r="CD16" s="10">
        <v>28.5</v>
      </c>
      <c r="CE16" s="14">
        <f t="shared" si="25"/>
        <v>4.5614035087718947E-3</v>
      </c>
    </row>
    <row r="17" spans="1:83" x14ac:dyDescent="0.35">
      <c r="A17" s="29">
        <v>46104.272465277776</v>
      </c>
      <c r="B17" s="3" t="s">
        <v>25</v>
      </c>
      <c r="C17" s="3">
        <v>60</v>
      </c>
      <c r="D17" s="3">
        <v>12</v>
      </c>
      <c r="E17" s="3">
        <v>83</v>
      </c>
      <c r="F17" s="21">
        <v>403.21</v>
      </c>
      <c r="G17" s="3">
        <v>404.02</v>
      </c>
      <c r="H17" s="14">
        <f t="shared" si="0"/>
        <v>2.0048512449878774E-3</v>
      </c>
      <c r="I17" s="22">
        <v>404.42</v>
      </c>
      <c r="J17" s="3">
        <v>404.15</v>
      </c>
      <c r="K17" s="14">
        <f t="shared" si="1"/>
        <v>6.6806878634180045E-4</v>
      </c>
      <c r="L17" s="22">
        <v>404.94</v>
      </c>
      <c r="M17" s="3">
        <v>405.18</v>
      </c>
      <c r="N17" s="14">
        <f t="shared" si="2"/>
        <v>5.9232933511034383E-4</v>
      </c>
      <c r="O17" s="22">
        <v>232.8</v>
      </c>
      <c r="P17" s="3">
        <v>232.31</v>
      </c>
      <c r="Q17" s="14">
        <f t="shared" si="3"/>
        <v>2.1092505703586119E-3</v>
      </c>
      <c r="R17" s="22">
        <v>233.5</v>
      </c>
      <c r="S17" s="3">
        <v>232.86</v>
      </c>
      <c r="T17" s="14">
        <f t="shared" si="4"/>
        <v>2.7484325345700691E-3</v>
      </c>
      <c r="U17" s="22">
        <v>233.8</v>
      </c>
      <c r="V17" s="10">
        <v>232.8</v>
      </c>
      <c r="W17" s="14">
        <f t="shared" si="5"/>
        <v>4.2955326460481094E-3</v>
      </c>
      <c r="X17" s="23">
        <v>2.585</v>
      </c>
      <c r="Y17" s="11">
        <v>2.6</v>
      </c>
      <c r="Z17" s="14">
        <f t="shared" si="6"/>
        <v>5.7692307692308173E-3</v>
      </c>
      <c r="AA17" s="23">
        <v>2.6509999999999998</v>
      </c>
      <c r="AB17" s="11">
        <v>2.7</v>
      </c>
      <c r="AC17" s="14">
        <f t="shared" si="7"/>
        <v>1.8148148148148288E-2</v>
      </c>
      <c r="AD17" s="23">
        <v>2.7250000000000001</v>
      </c>
      <c r="AE17" s="11">
        <v>2.7</v>
      </c>
      <c r="AF17" s="14">
        <f t="shared" si="8"/>
        <v>9.2592592592592258E-3</v>
      </c>
      <c r="AG17" s="24">
        <v>220</v>
      </c>
      <c r="AH17" s="6">
        <v>219</v>
      </c>
      <c r="AI17" s="15">
        <f t="shared" si="9"/>
        <v>4.5662100456621002E-3</v>
      </c>
      <c r="AJ17" s="22">
        <v>254</v>
      </c>
      <c r="AK17" s="6">
        <v>253</v>
      </c>
      <c r="AL17" s="14">
        <f t="shared" si="10"/>
        <v>3.952569169960474E-3</v>
      </c>
      <c r="AM17" s="24">
        <v>237</v>
      </c>
      <c r="AN17" s="6">
        <v>235</v>
      </c>
      <c r="AO17" s="14">
        <f t="shared" si="11"/>
        <v>8.5106382978723406E-3</v>
      </c>
      <c r="AP17" s="24">
        <v>602</v>
      </c>
      <c r="AQ17" s="6">
        <v>601</v>
      </c>
      <c r="AR17" s="14">
        <f t="shared" si="12"/>
        <v>1.6638935108153079E-3</v>
      </c>
      <c r="AS17" s="24">
        <v>619</v>
      </c>
      <c r="AT17" s="3">
        <v>617</v>
      </c>
      <c r="AU17" s="14">
        <f t="shared" si="13"/>
        <v>3.2414910858995136E-3</v>
      </c>
      <c r="AV17" s="22">
        <v>637</v>
      </c>
      <c r="AW17" s="6">
        <v>635</v>
      </c>
      <c r="AX17" s="14">
        <f t="shared" si="14"/>
        <v>3.1496062992125984E-3</v>
      </c>
      <c r="AY17" s="26">
        <v>560</v>
      </c>
      <c r="AZ17" s="6">
        <v>558</v>
      </c>
      <c r="BA17" s="14">
        <f t="shared" si="15"/>
        <v>3.5842293906810036E-3</v>
      </c>
      <c r="BB17" s="27">
        <v>564</v>
      </c>
      <c r="BC17" s="6">
        <v>562</v>
      </c>
      <c r="BD17" s="14">
        <f t="shared" si="16"/>
        <v>3.5587188612099642E-3</v>
      </c>
      <c r="BE17" s="24">
        <v>591</v>
      </c>
      <c r="BF17" s="6">
        <v>589</v>
      </c>
      <c r="BG17" s="14">
        <f t="shared" si="17"/>
        <v>3.3955857385398981E-3</v>
      </c>
      <c r="BH17" s="21">
        <v>0.36</v>
      </c>
      <c r="BI17" s="28">
        <v>0.36</v>
      </c>
      <c r="BJ17" s="14">
        <f t="shared" si="18"/>
        <v>0</v>
      </c>
      <c r="BK17" s="21">
        <v>0.41</v>
      </c>
      <c r="BL17" s="28">
        <v>0.41</v>
      </c>
      <c r="BM17" s="14">
        <f t="shared" si="19"/>
        <v>0</v>
      </c>
      <c r="BN17" s="21">
        <v>0.37</v>
      </c>
      <c r="BO17" s="28">
        <v>0.38</v>
      </c>
      <c r="BP17" s="14">
        <f t="shared" si="20"/>
        <v>2.6315789473684233E-2</v>
      </c>
      <c r="BQ17" s="3">
        <v>50</v>
      </c>
      <c r="BR17" s="3">
        <v>50</v>
      </c>
      <c r="BS17" s="13">
        <f t="shared" si="21"/>
        <v>0</v>
      </c>
      <c r="BT17" s="3">
        <v>50</v>
      </c>
      <c r="BU17" s="3">
        <v>50</v>
      </c>
      <c r="BV17" s="13">
        <f t="shared" si="22"/>
        <v>0</v>
      </c>
      <c r="BW17" s="3">
        <v>50</v>
      </c>
      <c r="BX17" s="3">
        <v>50</v>
      </c>
      <c r="BY17" s="13">
        <f t="shared" si="23"/>
        <v>0</v>
      </c>
      <c r="BZ17">
        <v>0.4</v>
      </c>
      <c r="CA17" s="3">
        <v>0.3</v>
      </c>
      <c r="CB17" s="14">
        <f t="shared" si="24"/>
        <v>0.33333333333333348</v>
      </c>
      <c r="CC17" s="10">
        <v>28.33</v>
      </c>
      <c r="CD17" s="10">
        <v>28.5</v>
      </c>
      <c r="CE17" s="14">
        <f t="shared" si="25"/>
        <v>5.9649122807018144E-3</v>
      </c>
    </row>
    <row r="18" spans="1:83" x14ac:dyDescent="0.35">
      <c r="A18" s="29">
        <v>46104.272465277776</v>
      </c>
      <c r="B18" s="3" t="s">
        <v>25</v>
      </c>
      <c r="C18" s="3">
        <v>60</v>
      </c>
      <c r="D18" s="3">
        <v>13</v>
      </c>
      <c r="E18" s="3">
        <v>97</v>
      </c>
      <c r="F18" s="21">
        <v>403.04</v>
      </c>
      <c r="G18" s="3">
        <v>404.02</v>
      </c>
      <c r="H18" s="14">
        <f t="shared" si="0"/>
        <v>2.4256224939358481E-3</v>
      </c>
      <c r="I18" s="22">
        <v>404.42</v>
      </c>
      <c r="J18" s="3">
        <v>404.15</v>
      </c>
      <c r="K18" s="14">
        <f t="shared" si="1"/>
        <v>6.6806878634180045E-4</v>
      </c>
      <c r="L18" s="22">
        <v>404.94</v>
      </c>
      <c r="M18" s="3">
        <v>405.18</v>
      </c>
      <c r="N18" s="14">
        <f t="shared" si="2"/>
        <v>5.9232933511034383E-4</v>
      </c>
      <c r="O18" s="22">
        <v>232.7</v>
      </c>
      <c r="P18" s="3">
        <v>232.31</v>
      </c>
      <c r="Q18" s="14">
        <f t="shared" si="3"/>
        <v>1.6787912702853358E-3</v>
      </c>
      <c r="R18" s="22">
        <v>233.5</v>
      </c>
      <c r="S18" s="3">
        <v>232.86</v>
      </c>
      <c r="T18" s="14">
        <f t="shared" si="4"/>
        <v>2.7484325345700691E-3</v>
      </c>
      <c r="U18" s="22">
        <v>233.8</v>
      </c>
      <c r="V18" s="10">
        <v>232.8</v>
      </c>
      <c r="W18" s="14">
        <f t="shared" si="5"/>
        <v>4.2955326460481094E-3</v>
      </c>
      <c r="X18" s="23">
        <v>2.5870000000000002</v>
      </c>
      <c r="Y18" s="11">
        <v>2.6</v>
      </c>
      <c r="Z18" s="14">
        <f t="shared" si="6"/>
        <v>4.9999999999999619E-3</v>
      </c>
      <c r="AA18" s="23">
        <v>2.6520000000000001</v>
      </c>
      <c r="AB18" s="11">
        <v>2.7</v>
      </c>
      <c r="AC18" s="14">
        <f t="shared" si="7"/>
        <v>1.7777777777777792E-2</v>
      </c>
      <c r="AD18" s="23">
        <v>2.726</v>
      </c>
      <c r="AE18" s="11">
        <v>2.7</v>
      </c>
      <c r="AF18" s="14">
        <f t="shared" si="8"/>
        <v>9.6296296296295558E-3</v>
      </c>
      <c r="AG18" s="24">
        <v>220</v>
      </c>
      <c r="AH18" s="6">
        <v>219</v>
      </c>
      <c r="AI18" s="15">
        <f t="shared" si="9"/>
        <v>4.5662100456621002E-3</v>
      </c>
      <c r="AJ18" s="22">
        <v>254</v>
      </c>
      <c r="AK18" s="6">
        <v>253</v>
      </c>
      <c r="AL18" s="14">
        <f t="shared" si="10"/>
        <v>3.952569169960474E-3</v>
      </c>
      <c r="AM18" s="24">
        <v>237</v>
      </c>
      <c r="AN18" s="6">
        <v>235</v>
      </c>
      <c r="AO18" s="14">
        <f t="shared" si="11"/>
        <v>8.5106382978723406E-3</v>
      </c>
      <c r="AP18" s="24">
        <v>602</v>
      </c>
      <c r="AQ18" s="6">
        <v>601</v>
      </c>
      <c r="AR18" s="14">
        <f t="shared" si="12"/>
        <v>1.6638935108153079E-3</v>
      </c>
      <c r="AS18" s="24">
        <v>619</v>
      </c>
      <c r="AT18" s="3">
        <v>617</v>
      </c>
      <c r="AU18" s="14">
        <f t="shared" si="13"/>
        <v>3.2414910858995136E-3</v>
      </c>
      <c r="AV18" s="22">
        <v>637</v>
      </c>
      <c r="AW18" s="6">
        <v>635</v>
      </c>
      <c r="AX18" s="14">
        <f t="shared" si="14"/>
        <v>3.1496062992125984E-3</v>
      </c>
      <c r="AY18" s="26">
        <v>561</v>
      </c>
      <c r="AZ18" s="6">
        <v>559</v>
      </c>
      <c r="BA18" s="14">
        <f t="shared" si="15"/>
        <v>3.5778175313059034E-3</v>
      </c>
      <c r="BB18" s="27">
        <v>565</v>
      </c>
      <c r="BC18" s="6">
        <v>563</v>
      </c>
      <c r="BD18" s="14">
        <f t="shared" si="16"/>
        <v>3.552397868561279E-3</v>
      </c>
      <c r="BE18" s="24">
        <v>592</v>
      </c>
      <c r="BF18" s="6">
        <v>590</v>
      </c>
      <c r="BG18" s="14">
        <f t="shared" si="17"/>
        <v>3.3898305084745762E-3</v>
      </c>
      <c r="BH18" s="21">
        <v>0.36</v>
      </c>
      <c r="BI18" s="28">
        <v>0.36</v>
      </c>
      <c r="BJ18" s="14">
        <f t="shared" si="18"/>
        <v>0</v>
      </c>
      <c r="BK18" s="21">
        <v>0.41</v>
      </c>
      <c r="BL18" s="28">
        <v>0.41</v>
      </c>
      <c r="BM18" s="14">
        <f t="shared" si="19"/>
        <v>0</v>
      </c>
      <c r="BN18" s="21">
        <v>0.37</v>
      </c>
      <c r="BO18" s="28">
        <v>0.38</v>
      </c>
      <c r="BP18" s="14">
        <f t="shared" si="20"/>
        <v>2.6315789473684233E-2</v>
      </c>
      <c r="BQ18" s="3">
        <v>50</v>
      </c>
      <c r="BR18" s="3">
        <v>50</v>
      </c>
      <c r="BS18" s="13">
        <f t="shared" si="21"/>
        <v>0</v>
      </c>
      <c r="BT18" s="3">
        <v>50</v>
      </c>
      <c r="BU18" s="3">
        <v>50</v>
      </c>
      <c r="BV18" s="13">
        <f t="shared" si="22"/>
        <v>0</v>
      </c>
      <c r="BW18" s="3">
        <v>50</v>
      </c>
      <c r="BX18" s="3">
        <v>50</v>
      </c>
      <c r="BY18" s="13">
        <f t="shared" si="23"/>
        <v>0</v>
      </c>
      <c r="BZ18">
        <v>0.4</v>
      </c>
      <c r="CA18" s="3">
        <v>0.3</v>
      </c>
      <c r="CB18" s="14">
        <f t="shared" si="24"/>
        <v>0.33333333333333348</v>
      </c>
      <c r="CC18" s="10">
        <v>28.47</v>
      </c>
      <c r="CD18" s="10">
        <v>28.5</v>
      </c>
      <c r="CE18" s="14">
        <f t="shared" si="25"/>
        <v>1.0526315789474083E-3</v>
      </c>
    </row>
    <row r="19" spans="1:83" x14ac:dyDescent="0.35">
      <c r="A19" s="29">
        <v>46104.272465277776</v>
      </c>
      <c r="B19" s="3" t="s">
        <v>25</v>
      </c>
      <c r="C19" s="3">
        <v>60</v>
      </c>
      <c r="D19" s="3">
        <v>14</v>
      </c>
      <c r="E19" s="3">
        <v>111</v>
      </c>
      <c r="F19" s="21">
        <v>403.21</v>
      </c>
      <c r="G19" s="3">
        <v>403.84</v>
      </c>
      <c r="H19" s="14">
        <f t="shared" si="0"/>
        <v>1.5600237717907971E-3</v>
      </c>
      <c r="I19" s="22">
        <v>404.42</v>
      </c>
      <c r="J19" s="3">
        <v>404.15</v>
      </c>
      <c r="K19" s="14">
        <f t="shared" si="1"/>
        <v>6.6806878634180045E-4</v>
      </c>
      <c r="L19" s="22">
        <v>405.11</v>
      </c>
      <c r="M19" s="3">
        <v>405.18</v>
      </c>
      <c r="N19" s="14">
        <f t="shared" si="2"/>
        <v>1.7276272274049356E-4</v>
      </c>
      <c r="O19" s="22">
        <v>232.8</v>
      </c>
      <c r="P19" s="3">
        <v>232.57</v>
      </c>
      <c r="Q19" s="14">
        <f t="shared" si="3"/>
        <v>9.8894956357233597E-4</v>
      </c>
      <c r="R19" s="22">
        <v>233.5</v>
      </c>
      <c r="S19" s="3">
        <v>232.86</v>
      </c>
      <c r="T19" s="14">
        <f t="shared" si="4"/>
        <v>2.7484325345700691E-3</v>
      </c>
      <c r="U19" s="22">
        <v>233.9</v>
      </c>
      <c r="V19" s="10">
        <v>232.8</v>
      </c>
      <c r="W19" s="14">
        <f t="shared" si="5"/>
        <v>4.7250859106528964E-3</v>
      </c>
      <c r="X19" s="23">
        <v>2.5870000000000002</v>
      </c>
      <c r="Y19" s="11">
        <v>2.6</v>
      </c>
      <c r="Z19" s="14">
        <f t="shared" si="6"/>
        <v>4.9999999999999619E-3</v>
      </c>
      <c r="AA19" s="23">
        <v>2.653</v>
      </c>
      <c r="AB19" s="11">
        <v>2.7</v>
      </c>
      <c r="AC19" s="14">
        <f t="shared" si="7"/>
        <v>1.7407407407407462E-2</v>
      </c>
      <c r="AD19" s="23">
        <v>2.7280000000000002</v>
      </c>
      <c r="AE19" s="11">
        <v>2.7</v>
      </c>
      <c r="AF19" s="14">
        <f t="shared" si="8"/>
        <v>1.0370370370370379E-2</v>
      </c>
      <c r="AG19" s="24">
        <v>220</v>
      </c>
      <c r="AH19" s="6">
        <v>219</v>
      </c>
      <c r="AI19" s="15">
        <f t="shared" si="9"/>
        <v>4.5662100456621002E-3</v>
      </c>
      <c r="AJ19" s="22">
        <v>255</v>
      </c>
      <c r="AK19" s="6">
        <v>254</v>
      </c>
      <c r="AL19" s="14">
        <f t="shared" si="10"/>
        <v>3.937007874015748E-3</v>
      </c>
      <c r="AM19" s="24">
        <v>237</v>
      </c>
      <c r="AN19" s="6">
        <v>235</v>
      </c>
      <c r="AO19" s="14">
        <f t="shared" si="11"/>
        <v>8.5106382978723406E-3</v>
      </c>
      <c r="AP19" s="24">
        <v>602</v>
      </c>
      <c r="AQ19" s="6">
        <v>601</v>
      </c>
      <c r="AR19" s="14">
        <f t="shared" si="12"/>
        <v>1.6638935108153079E-3</v>
      </c>
      <c r="AS19" s="24">
        <v>619</v>
      </c>
      <c r="AT19" s="3">
        <v>617</v>
      </c>
      <c r="AU19" s="14">
        <f t="shared" si="13"/>
        <v>3.2414910858995136E-3</v>
      </c>
      <c r="AV19" s="22">
        <v>638</v>
      </c>
      <c r="AW19" s="6">
        <v>636</v>
      </c>
      <c r="AX19" s="14">
        <f t="shared" si="14"/>
        <v>3.1446540880503146E-3</v>
      </c>
      <c r="AY19" s="26">
        <v>561</v>
      </c>
      <c r="AZ19" s="6">
        <v>559</v>
      </c>
      <c r="BA19" s="14">
        <f t="shared" si="15"/>
        <v>3.5778175313059034E-3</v>
      </c>
      <c r="BB19" s="27">
        <v>565</v>
      </c>
      <c r="BC19" s="6">
        <v>563</v>
      </c>
      <c r="BD19" s="14">
        <f t="shared" si="16"/>
        <v>3.552397868561279E-3</v>
      </c>
      <c r="BE19" s="24">
        <v>593</v>
      </c>
      <c r="BF19" s="6">
        <v>591</v>
      </c>
      <c r="BG19" s="14">
        <f t="shared" si="17"/>
        <v>3.3840947546531302E-3</v>
      </c>
      <c r="BH19" s="21">
        <v>0.36</v>
      </c>
      <c r="BI19" s="28">
        <v>0.36</v>
      </c>
      <c r="BJ19" s="14">
        <f t="shared" si="18"/>
        <v>0</v>
      </c>
      <c r="BK19" s="21">
        <v>0.41</v>
      </c>
      <c r="BL19" s="28">
        <v>0.41</v>
      </c>
      <c r="BM19" s="14">
        <f t="shared" si="19"/>
        <v>0</v>
      </c>
      <c r="BN19" s="21">
        <v>0.37</v>
      </c>
      <c r="BO19" s="28">
        <v>0.38</v>
      </c>
      <c r="BP19" s="14">
        <f t="shared" si="20"/>
        <v>2.6315789473684233E-2</v>
      </c>
      <c r="BQ19" s="3">
        <v>50</v>
      </c>
      <c r="BR19" s="3">
        <v>50</v>
      </c>
      <c r="BS19" s="13">
        <f t="shared" si="21"/>
        <v>0</v>
      </c>
      <c r="BT19" s="3">
        <v>50</v>
      </c>
      <c r="BU19" s="3">
        <v>50</v>
      </c>
      <c r="BV19" s="13">
        <f t="shared" si="22"/>
        <v>0</v>
      </c>
      <c r="BW19" s="3">
        <v>50</v>
      </c>
      <c r="BX19" s="3">
        <v>50</v>
      </c>
      <c r="BY19" s="13">
        <f t="shared" si="23"/>
        <v>0</v>
      </c>
      <c r="BZ19">
        <v>0.4</v>
      </c>
      <c r="CA19" s="3">
        <v>0.3</v>
      </c>
      <c r="CB19" s="14">
        <f t="shared" si="24"/>
        <v>0.33333333333333348</v>
      </c>
      <c r="CC19" s="10">
        <v>28.53</v>
      </c>
      <c r="CD19" s="10">
        <v>28.5</v>
      </c>
      <c r="CE19" s="14">
        <f t="shared" si="25"/>
        <v>1.0526315789474083E-3</v>
      </c>
    </row>
    <row r="20" spans="1:83" x14ac:dyDescent="0.35">
      <c r="A20" s="29">
        <v>46104.272465277776</v>
      </c>
      <c r="B20" s="3" t="s">
        <v>25</v>
      </c>
      <c r="C20" s="3">
        <v>60</v>
      </c>
      <c r="D20" s="3">
        <v>15</v>
      </c>
      <c r="E20" s="3">
        <v>125</v>
      </c>
      <c r="F20" s="21">
        <v>403.21</v>
      </c>
      <c r="G20" s="3">
        <v>403.84</v>
      </c>
      <c r="H20" s="14">
        <f t="shared" si="0"/>
        <v>1.5600237717907971E-3</v>
      </c>
      <c r="I20" s="22">
        <v>404.42</v>
      </c>
      <c r="J20" s="3">
        <v>404.15</v>
      </c>
      <c r="K20" s="14">
        <f t="shared" si="1"/>
        <v>6.6806878634180045E-4</v>
      </c>
      <c r="L20" s="22">
        <v>405.11</v>
      </c>
      <c r="M20" s="3">
        <v>405.18</v>
      </c>
      <c r="N20" s="14">
        <f t="shared" si="2"/>
        <v>1.7276272274049356E-4</v>
      </c>
      <c r="O20" s="22">
        <v>232.8</v>
      </c>
      <c r="P20" s="3">
        <v>232.57</v>
      </c>
      <c r="Q20" s="14">
        <f t="shared" si="3"/>
        <v>9.8894956357233597E-4</v>
      </c>
      <c r="R20" s="22">
        <v>233.5</v>
      </c>
      <c r="S20" s="3">
        <v>232.86</v>
      </c>
      <c r="T20" s="14">
        <f t="shared" si="4"/>
        <v>2.7484325345700691E-3</v>
      </c>
      <c r="U20" s="22">
        <v>233.9</v>
      </c>
      <c r="V20" s="10">
        <v>232.8</v>
      </c>
      <c r="W20" s="14">
        <f t="shared" si="5"/>
        <v>4.7250859106528964E-3</v>
      </c>
      <c r="X20" s="23">
        <v>2.59</v>
      </c>
      <c r="Y20" s="11">
        <v>2.6</v>
      </c>
      <c r="Z20" s="14">
        <f t="shared" si="6"/>
        <v>3.8461538461539348E-3</v>
      </c>
      <c r="AA20" s="23">
        <v>2.6560000000000001</v>
      </c>
      <c r="AB20" s="11">
        <v>2.7</v>
      </c>
      <c r="AC20" s="14">
        <f t="shared" si="7"/>
        <v>1.6296296296296309E-2</v>
      </c>
      <c r="AD20" s="23">
        <v>2.73</v>
      </c>
      <c r="AE20" s="11">
        <v>2.7</v>
      </c>
      <c r="AF20" s="14">
        <f t="shared" si="8"/>
        <v>1.1111111111111039E-2</v>
      </c>
      <c r="AG20" s="24">
        <v>220</v>
      </c>
      <c r="AH20" s="6">
        <v>219</v>
      </c>
      <c r="AI20" s="15">
        <f t="shared" si="9"/>
        <v>4.5662100456621002E-3</v>
      </c>
      <c r="AJ20" s="22">
        <v>255</v>
      </c>
      <c r="AK20" s="6">
        <v>254</v>
      </c>
      <c r="AL20" s="14">
        <f t="shared" si="10"/>
        <v>3.937007874015748E-3</v>
      </c>
      <c r="AM20" s="24">
        <v>237</v>
      </c>
      <c r="AN20" s="6">
        <v>235</v>
      </c>
      <c r="AO20" s="14">
        <f t="shared" si="11"/>
        <v>8.5106382978723406E-3</v>
      </c>
      <c r="AP20" s="24">
        <v>603</v>
      </c>
      <c r="AQ20" s="6">
        <v>601</v>
      </c>
      <c r="AR20" s="14">
        <f t="shared" si="12"/>
        <v>3.3277870216306157E-3</v>
      </c>
      <c r="AS20" s="24">
        <v>620</v>
      </c>
      <c r="AT20" s="3">
        <v>617</v>
      </c>
      <c r="AU20" s="14">
        <f t="shared" si="13"/>
        <v>4.8622366288492711E-3</v>
      </c>
      <c r="AV20" s="24">
        <v>639</v>
      </c>
      <c r="AW20" s="6">
        <v>637</v>
      </c>
      <c r="AX20" s="14">
        <f t="shared" si="14"/>
        <v>3.1397174254317113E-3</v>
      </c>
      <c r="AY20" s="26">
        <v>561</v>
      </c>
      <c r="AZ20" s="6">
        <v>559</v>
      </c>
      <c r="BA20" s="14">
        <f t="shared" si="15"/>
        <v>3.5778175313059034E-3</v>
      </c>
      <c r="BB20" s="27">
        <v>565</v>
      </c>
      <c r="BC20" s="6">
        <v>563</v>
      </c>
      <c r="BD20" s="14">
        <f t="shared" si="16"/>
        <v>3.552397868561279E-3</v>
      </c>
      <c r="BE20" s="24">
        <v>593</v>
      </c>
      <c r="BF20" s="6">
        <v>591</v>
      </c>
      <c r="BG20" s="14">
        <f t="shared" si="17"/>
        <v>3.3840947546531302E-3</v>
      </c>
      <c r="BH20" s="21">
        <v>0.37</v>
      </c>
      <c r="BI20" s="28">
        <v>0.37</v>
      </c>
      <c r="BJ20" s="14">
        <f t="shared" si="18"/>
        <v>0</v>
      </c>
      <c r="BK20" s="21">
        <v>0.41</v>
      </c>
      <c r="BL20" s="28">
        <v>0.41</v>
      </c>
      <c r="BM20" s="14">
        <f t="shared" si="19"/>
        <v>0</v>
      </c>
      <c r="BN20" s="21">
        <v>0.37</v>
      </c>
      <c r="BO20" s="28">
        <v>0.38</v>
      </c>
      <c r="BP20" s="14">
        <f t="shared" si="20"/>
        <v>2.6315789473684233E-2</v>
      </c>
      <c r="BQ20" s="3">
        <v>50</v>
      </c>
      <c r="BR20" s="3">
        <v>50</v>
      </c>
      <c r="BS20" s="13">
        <f t="shared" si="21"/>
        <v>0</v>
      </c>
      <c r="BT20" s="3">
        <v>50</v>
      </c>
      <c r="BU20" s="3">
        <v>50</v>
      </c>
      <c r="BV20" s="13">
        <f t="shared" si="22"/>
        <v>0</v>
      </c>
      <c r="BW20" s="3">
        <v>50</v>
      </c>
      <c r="BX20" s="3">
        <v>50</v>
      </c>
      <c r="BY20" s="13">
        <f t="shared" si="23"/>
        <v>0</v>
      </c>
      <c r="BZ20">
        <v>0.4</v>
      </c>
      <c r="CA20" s="3">
        <v>0.3</v>
      </c>
      <c r="CB20" s="14">
        <f t="shared" si="24"/>
        <v>0.33333333333333348</v>
      </c>
      <c r="CC20" s="10">
        <v>28.45</v>
      </c>
      <c r="CD20" s="10">
        <v>28.5</v>
      </c>
      <c r="CE20" s="14">
        <f t="shared" si="25"/>
        <v>1.7543859649123057E-3</v>
      </c>
    </row>
    <row r="21" spans="1:83" x14ac:dyDescent="0.35">
      <c r="A21" s="29">
        <v>46104.272465277776</v>
      </c>
      <c r="B21" s="3" t="s">
        <v>25</v>
      </c>
      <c r="C21" s="3">
        <v>60</v>
      </c>
      <c r="D21" s="3">
        <v>16</v>
      </c>
      <c r="E21" s="3">
        <v>139</v>
      </c>
      <c r="F21" s="21">
        <v>403.21</v>
      </c>
      <c r="G21" s="3">
        <v>403.84</v>
      </c>
      <c r="H21" s="14">
        <f t="shared" si="0"/>
        <v>1.5600237717907971E-3</v>
      </c>
      <c r="I21" s="22">
        <v>404.42</v>
      </c>
      <c r="J21" s="3">
        <v>404.15</v>
      </c>
      <c r="K21" s="14">
        <f t="shared" si="1"/>
        <v>6.6806878634180045E-4</v>
      </c>
      <c r="L21" s="22">
        <v>405.11</v>
      </c>
      <c r="M21" s="3">
        <v>404.79</v>
      </c>
      <c r="N21" s="14">
        <f t="shared" si="2"/>
        <v>7.905333629783176E-4</v>
      </c>
      <c r="O21" s="22">
        <v>232.8</v>
      </c>
      <c r="P21" s="3">
        <v>232.57</v>
      </c>
      <c r="Q21" s="14">
        <f t="shared" si="3"/>
        <v>9.8894956357233597E-4</v>
      </c>
      <c r="R21" s="22">
        <v>233.5</v>
      </c>
      <c r="S21" s="3">
        <v>232.94</v>
      </c>
      <c r="T21" s="14">
        <f t="shared" si="4"/>
        <v>2.4040525457199378E-3</v>
      </c>
      <c r="U21" s="22">
        <v>233.9</v>
      </c>
      <c r="V21" s="10">
        <v>232.76</v>
      </c>
      <c r="W21" s="14">
        <f t="shared" si="5"/>
        <v>4.8977487540815207E-3</v>
      </c>
      <c r="X21" s="23">
        <v>2.5859999999999999</v>
      </c>
      <c r="Y21" s="11">
        <v>2.6</v>
      </c>
      <c r="Z21" s="14">
        <f t="shared" si="6"/>
        <v>5.3846153846154746E-3</v>
      </c>
      <c r="AA21" s="23">
        <v>2.6520000000000001</v>
      </c>
      <c r="AB21" s="11">
        <v>2.7</v>
      </c>
      <c r="AC21" s="14">
        <f t="shared" si="7"/>
        <v>1.7777777777777792E-2</v>
      </c>
      <c r="AD21" s="23">
        <v>2.7280000000000002</v>
      </c>
      <c r="AE21" s="11">
        <v>2.7</v>
      </c>
      <c r="AF21" s="14">
        <f t="shared" si="8"/>
        <v>1.0370370370370379E-2</v>
      </c>
      <c r="AG21" s="24">
        <v>220</v>
      </c>
      <c r="AH21" s="6">
        <v>219</v>
      </c>
      <c r="AI21" s="15">
        <f t="shared" si="9"/>
        <v>4.5662100456621002E-3</v>
      </c>
      <c r="AJ21" s="22">
        <v>255</v>
      </c>
      <c r="AK21" s="6">
        <v>254</v>
      </c>
      <c r="AL21" s="14">
        <f t="shared" si="10"/>
        <v>3.937007874015748E-3</v>
      </c>
      <c r="AM21" s="24">
        <v>238</v>
      </c>
      <c r="AN21" s="6">
        <v>236</v>
      </c>
      <c r="AO21" s="14">
        <f t="shared" si="11"/>
        <v>8.4745762711864406E-3</v>
      </c>
      <c r="AP21" s="24">
        <v>602</v>
      </c>
      <c r="AQ21" s="6">
        <v>601</v>
      </c>
      <c r="AR21" s="14">
        <f t="shared" si="12"/>
        <v>1.6638935108153079E-3</v>
      </c>
      <c r="AS21" s="24">
        <v>619</v>
      </c>
      <c r="AT21" s="3">
        <v>617</v>
      </c>
      <c r="AU21" s="14">
        <f t="shared" si="13"/>
        <v>3.2414910858995136E-3</v>
      </c>
      <c r="AV21" s="24">
        <v>638</v>
      </c>
      <c r="AW21" s="6">
        <v>636</v>
      </c>
      <c r="AX21" s="14">
        <f t="shared" si="14"/>
        <v>3.1446540880503146E-3</v>
      </c>
      <c r="AY21" s="26">
        <v>560</v>
      </c>
      <c r="AZ21" s="6">
        <v>558</v>
      </c>
      <c r="BA21" s="14">
        <f t="shared" si="15"/>
        <v>3.5842293906810036E-3</v>
      </c>
      <c r="BB21" s="27">
        <v>564</v>
      </c>
      <c r="BC21" s="6">
        <v>562</v>
      </c>
      <c r="BD21" s="14">
        <f t="shared" si="16"/>
        <v>3.5587188612099642E-3</v>
      </c>
      <c r="BE21" s="24">
        <v>592</v>
      </c>
      <c r="BF21" s="6">
        <v>590</v>
      </c>
      <c r="BG21" s="14">
        <f t="shared" si="17"/>
        <v>3.3898305084745762E-3</v>
      </c>
      <c r="BH21" s="21">
        <v>0.37</v>
      </c>
      <c r="BI21" s="28">
        <v>0.37</v>
      </c>
      <c r="BJ21" s="14">
        <f t="shared" si="18"/>
        <v>0</v>
      </c>
      <c r="BK21" s="21">
        <v>0.41</v>
      </c>
      <c r="BL21" s="28">
        <v>0.41</v>
      </c>
      <c r="BM21" s="14">
        <f t="shared" si="19"/>
        <v>0</v>
      </c>
      <c r="BN21" s="21">
        <v>0.37</v>
      </c>
      <c r="BO21" s="28">
        <v>0.38</v>
      </c>
      <c r="BP21" s="14">
        <f t="shared" si="20"/>
        <v>2.6315789473684233E-2</v>
      </c>
      <c r="BQ21" s="3">
        <v>50</v>
      </c>
      <c r="BR21" s="3">
        <v>50</v>
      </c>
      <c r="BS21" s="13">
        <f t="shared" si="21"/>
        <v>0</v>
      </c>
      <c r="BT21" s="3">
        <v>50</v>
      </c>
      <c r="BU21" s="3">
        <v>50</v>
      </c>
      <c r="BV21" s="13">
        <f t="shared" si="22"/>
        <v>0</v>
      </c>
      <c r="BW21" s="3">
        <v>50</v>
      </c>
      <c r="BX21" s="3">
        <v>50</v>
      </c>
      <c r="BY21" s="13">
        <f t="shared" si="23"/>
        <v>0</v>
      </c>
      <c r="BZ21">
        <v>0.4</v>
      </c>
      <c r="CA21" s="3">
        <v>0.3</v>
      </c>
      <c r="CB21" s="14">
        <f t="shared" si="24"/>
        <v>0.33333333333333348</v>
      </c>
      <c r="CC21" s="10">
        <v>28.45</v>
      </c>
      <c r="CD21" s="10">
        <v>28.5</v>
      </c>
      <c r="CE21" s="14">
        <f t="shared" si="25"/>
        <v>1.7543859649123057E-3</v>
      </c>
    </row>
    <row r="22" spans="1:83" x14ac:dyDescent="0.35">
      <c r="A22" s="29">
        <v>46104.272465277776</v>
      </c>
      <c r="B22" s="3" t="s">
        <v>25</v>
      </c>
      <c r="C22" s="3">
        <v>60</v>
      </c>
      <c r="D22" s="3">
        <v>17</v>
      </c>
      <c r="E22" s="3">
        <v>153</v>
      </c>
      <c r="F22" s="21">
        <v>403.21</v>
      </c>
      <c r="G22" s="3">
        <v>403.84</v>
      </c>
      <c r="H22" s="14">
        <f t="shared" si="0"/>
        <v>1.5600237717907971E-3</v>
      </c>
      <c r="I22" s="22">
        <v>404.6</v>
      </c>
      <c r="J22" s="3">
        <v>404.15</v>
      </c>
      <c r="K22" s="14">
        <f t="shared" si="1"/>
        <v>1.1134479772362872E-3</v>
      </c>
      <c r="L22" s="22">
        <v>405.11</v>
      </c>
      <c r="M22" s="3">
        <v>404.79</v>
      </c>
      <c r="N22" s="14">
        <f t="shared" si="2"/>
        <v>7.905333629783176E-4</v>
      </c>
      <c r="O22" s="22">
        <v>232.8</v>
      </c>
      <c r="P22" s="3">
        <v>232.57</v>
      </c>
      <c r="Q22" s="14">
        <f t="shared" si="3"/>
        <v>9.8894956357233597E-4</v>
      </c>
      <c r="R22" s="22">
        <v>233.6</v>
      </c>
      <c r="S22" s="3">
        <v>232.94</v>
      </c>
      <c r="T22" s="14">
        <f t="shared" si="4"/>
        <v>2.8333476431699005E-3</v>
      </c>
      <c r="U22" s="22">
        <v>233.9</v>
      </c>
      <c r="V22" s="10">
        <v>232.76</v>
      </c>
      <c r="W22" s="14">
        <f t="shared" si="5"/>
        <v>4.8977487540815207E-3</v>
      </c>
      <c r="X22" s="23">
        <v>2.589</v>
      </c>
      <c r="Y22" s="11">
        <v>2.6</v>
      </c>
      <c r="Z22" s="14">
        <f t="shared" si="6"/>
        <v>4.2307692307692775E-3</v>
      </c>
      <c r="AA22" s="23">
        <v>2.653</v>
      </c>
      <c r="AB22" s="11">
        <v>2.7</v>
      </c>
      <c r="AC22" s="14">
        <f t="shared" si="7"/>
        <v>1.7407407407407462E-2</v>
      </c>
      <c r="AD22" s="23">
        <v>2.7280000000000002</v>
      </c>
      <c r="AE22" s="11">
        <v>2.7</v>
      </c>
      <c r="AF22" s="14">
        <f t="shared" si="8"/>
        <v>1.0370370370370379E-2</v>
      </c>
      <c r="AG22" s="24">
        <v>220</v>
      </c>
      <c r="AH22" s="6">
        <v>219</v>
      </c>
      <c r="AI22" s="15">
        <f t="shared" si="9"/>
        <v>4.5662100456621002E-3</v>
      </c>
      <c r="AJ22" s="22">
        <v>255</v>
      </c>
      <c r="AK22" s="6">
        <v>254</v>
      </c>
      <c r="AL22" s="14">
        <f t="shared" si="10"/>
        <v>3.937007874015748E-3</v>
      </c>
      <c r="AM22" s="24">
        <v>237</v>
      </c>
      <c r="AN22" s="6">
        <v>235</v>
      </c>
      <c r="AO22" s="14">
        <f t="shared" si="11"/>
        <v>8.5106382978723406E-3</v>
      </c>
      <c r="AP22" s="24">
        <v>603</v>
      </c>
      <c r="AQ22" s="6">
        <v>601</v>
      </c>
      <c r="AR22" s="14">
        <f t="shared" si="12"/>
        <v>3.3277870216306157E-3</v>
      </c>
      <c r="AS22" s="24">
        <v>620</v>
      </c>
      <c r="AT22" s="3">
        <v>617</v>
      </c>
      <c r="AU22" s="14">
        <f t="shared" si="13"/>
        <v>4.8622366288492711E-3</v>
      </c>
      <c r="AV22" s="24">
        <v>638</v>
      </c>
      <c r="AW22" s="6">
        <v>636</v>
      </c>
      <c r="AX22" s="14">
        <f t="shared" si="14"/>
        <v>3.1446540880503146E-3</v>
      </c>
      <c r="AY22" s="26">
        <v>561</v>
      </c>
      <c r="AZ22" s="6">
        <v>559</v>
      </c>
      <c r="BA22" s="14">
        <f t="shared" si="15"/>
        <v>3.5778175313059034E-3</v>
      </c>
      <c r="BB22" s="27">
        <v>565</v>
      </c>
      <c r="BC22" s="6">
        <v>563</v>
      </c>
      <c r="BD22" s="14">
        <f t="shared" si="16"/>
        <v>3.552397868561279E-3</v>
      </c>
      <c r="BE22" s="24">
        <v>592</v>
      </c>
      <c r="BF22" s="6">
        <v>590</v>
      </c>
      <c r="BG22" s="14">
        <f t="shared" si="17"/>
        <v>3.3898305084745762E-3</v>
      </c>
      <c r="BH22" s="21">
        <v>0.37</v>
      </c>
      <c r="BI22" s="28">
        <v>0.37</v>
      </c>
      <c r="BJ22" s="14">
        <f t="shared" si="18"/>
        <v>0</v>
      </c>
      <c r="BK22" s="21">
        <v>0.41</v>
      </c>
      <c r="BL22" s="28">
        <v>0.41</v>
      </c>
      <c r="BM22" s="14">
        <f t="shared" si="19"/>
        <v>0</v>
      </c>
      <c r="BN22" s="21">
        <v>0.37</v>
      </c>
      <c r="BO22" s="28">
        <v>0.38</v>
      </c>
      <c r="BP22" s="14">
        <f t="shared" si="20"/>
        <v>2.6315789473684233E-2</v>
      </c>
      <c r="BQ22" s="3">
        <v>50</v>
      </c>
      <c r="BR22" s="3">
        <v>50</v>
      </c>
      <c r="BS22" s="13">
        <f t="shared" si="21"/>
        <v>0</v>
      </c>
      <c r="BT22" s="3">
        <v>50</v>
      </c>
      <c r="BU22" s="3">
        <v>50</v>
      </c>
      <c r="BV22" s="13">
        <f t="shared" si="22"/>
        <v>0</v>
      </c>
      <c r="BW22" s="3">
        <v>50</v>
      </c>
      <c r="BX22" s="3">
        <v>50</v>
      </c>
      <c r="BY22" s="13">
        <f t="shared" si="23"/>
        <v>0</v>
      </c>
      <c r="BZ22">
        <v>0.4</v>
      </c>
      <c r="CA22" s="3">
        <v>0.3</v>
      </c>
      <c r="CB22" s="14">
        <f t="shared" si="24"/>
        <v>0.33333333333333348</v>
      </c>
      <c r="CC22" s="10">
        <v>28.43</v>
      </c>
      <c r="CD22" s="10">
        <v>28.5</v>
      </c>
      <c r="CE22" s="14">
        <f t="shared" si="25"/>
        <v>2.456140350877203E-3</v>
      </c>
    </row>
    <row r="23" spans="1:83" x14ac:dyDescent="0.35">
      <c r="A23" s="29">
        <v>46104.272465277776</v>
      </c>
      <c r="B23" s="3" t="s">
        <v>25</v>
      </c>
      <c r="C23" s="3">
        <v>60</v>
      </c>
      <c r="D23" s="3">
        <v>18</v>
      </c>
      <c r="E23" s="3">
        <v>167</v>
      </c>
      <c r="F23" s="21">
        <v>403.56</v>
      </c>
      <c r="G23" s="3">
        <v>403.84</v>
      </c>
      <c r="H23" s="14">
        <f t="shared" si="0"/>
        <v>6.9334389857362503E-4</v>
      </c>
      <c r="I23" s="22">
        <v>404.77</v>
      </c>
      <c r="J23" s="3">
        <v>404.15</v>
      </c>
      <c r="K23" s="14">
        <f t="shared" si="1"/>
        <v>1.5340838797476299E-3</v>
      </c>
      <c r="L23" s="22">
        <v>405.46</v>
      </c>
      <c r="M23" s="3">
        <v>404.79</v>
      </c>
      <c r="N23" s="14">
        <f t="shared" si="2"/>
        <v>1.6551792287357865E-3</v>
      </c>
      <c r="O23" s="22">
        <v>233</v>
      </c>
      <c r="P23" s="3">
        <v>232.57</v>
      </c>
      <c r="Q23" s="14">
        <f t="shared" si="3"/>
        <v>1.848905705809033E-3</v>
      </c>
      <c r="R23" s="22">
        <v>233.7</v>
      </c>
      <c r="S23" s="3">
        <v>232.94</v>
      </c>
      <c r="T23" s="14">
        <f t="shared" si="4"/>
        <v>3.2626427406198632E-3</v>
      </c>
      <c r="U23" s="22">
        <v>234.1</v>
      </c>
      <c r="V23" s="10">
        <v>232.76</v>
      </c>
      <c r="W23" s="14">
        <f t="shared" si="5"/>
        <v>5.7570029214641842E-3</v>
      </c>
      <c r="X23" s="23">
        <v>2.593</v>
      </c>
      <c r="Y23" s="11">
        <v>2.6</v>
      </c>
      <c r="Z23" s="14">
        <f t="shared" si="6"/>
        <v>2.6923076923077373E-3</v>
      </c>
      <c r="AA23" s="23">
        <v>2.657</v>
      </c>
      <c r="AB23" s="11">
        <v>2.7</v>
      </c>
      <c r="AC23" s="14">
        <f t="shared" si="7"/>
        <v>1.5925925925925979E-2</v>
      </c>
      <c r="AD23" s="23">
        <v>2.7320000000000002</v>
      </c>
      <c r="AE23" s="11">
        <v>2.7</v>
      </c>
      <c r="AF23" s="14">
        <f t="shared" si="8"/>
        <v>1.1851851851851862E-2</v>
      </c>
      <c r="AG23" s="24">
        <v>220</v>
      </c>
      <c r="AH23" s="6">
        <v>219</v>
      </c>
      <c r="AI23" s="15">
        <f t="shared" si="9"/>
        <v>4.5662100456621002E-3</v>
      </c>
      <c r="AJ23" s="22">
        <v>255</v>
      </c>
      <c r="AK23" s="6">
        <v>254</v>
      </c>
      <c r="AL23" s="14">
        <f t="shared" si="10"/>
        <v>3.937007874015748E-3</v>
      </c>
      <c r="AM23" s="24">
        <v>237</v>
      </c>
      <c r="AN23" s="6">
        <v>235</v>
      </c>
      <c r="AO23" s="14">
        <f t="shared" si="11"/>
        <v>8.5106382978723406E-3</v>
      </c>
      <c r="AP23" s="24">
        <v>604</v>
      </c>
      <c r="AQ23" s="6">
        <v>602</v>
      </c>
      <c r="AR23" s="14">
        <f t="shared" si="12"/>
        <v>3.3222591362126247E-3</v>
      </c>
      <c r="AS23" s="24">
        <v>621</v>
      </c>
      <c r="AT23" s="3">
        <v>617</v>
      </c>
      <c r="AU23" s="14">
        <f t="shared" si="13"/>
        <v>6.4829821717990272E-3</v>
      </c>
      <c r="AV23" s="24">
        <v>640</v>
      </c>
      <c r="AW23" s="6">
        <v>638</v>
      </c>
      <c r="AX23" s="14">
        <f t="shared" si="14"/>
        <v>3.134796238244514E-3</v>
      </c>
      <c r="AY23" s="26">
        <v>563</v>
      </c>
      <c r="AZ23" s="6">
        <v>561</v>
      </c>
      <c r="BA23" s="14">
        <f t="shared" si="15"/>
        <v>3.5650623885918001E-3</v>
      </c>
      <c r="BB23" s="27">
        <v>566</v>
      </c>
      <c r="BC23" s="6">
        <v>564</v>
      </c>
      <c r="BD23" s="14">
        <f t="shared" si="16"/>
        <v>3.5460992907801418E-3</v>
      </c>
      <c r="BE23" s="24">
        <v>594</v>
      </c>
      <c r="BF23" s="6">
        <v>592</v>
      </c>
      <c r="BG23" s="14">
        <f t="shared" si="17"/>
        <v>3.3783783783783786E-3</v>
      </c>
      <c r="BH23" s="21">
        <v>0.36</v>
      </c>
      <c r="BI23" s="28">
        <v>0.36</v>
      </c>
      <c r="BJ23" s="14">
        <f t="shared" si="18"/>
        <v>0</v>
      </c>
      <c r="BK23" s="21">
        <v>0.41</v>
      </c>
      <c r="BL23" s="28">
        <v>0.41</v>
      </c>
      <c r="BM23" s="14">
        <f t="shared" si="19"/>
        <v>0</v>
      </c>
      <c r="BN23" s="21">
        <v>0.37</v>
      </c>
      <c r="BO23" s="28">
        <v>0.38</v>
      </c>
      <c r="BP23" s="14">
        <f t="shared" si="20"/>
        <v>2.6315789473684233E-2</v>
      </c>
      <c r="BQ23" s="3">
        <v>50</v>
      </c>
      <c r="BR23" s="3">
        <v>50</v>
      </c>
      <c r="BS23" s="13">
        <f t="shared" si="21"/>
        <v>0</v>
      </c>
      <c r="BT23" s="3">
        <v>50</v>
      </c>
      <c r="BU23" s="3">
        <v>50</v>
      </c>
      <c r="BV23" s="13">
        <f t="shared" si="22"/>
        <v>0</v>
      </c>
      <c r="BW23" s="3">
        <v>50</v>
      </c>
      <c r="BX23" s="3">
        <v>50</v>
      </c>
      <c r="BY23" s="13">
        <f t="shared" si="23"/>
        <v>0</v>
      </c>
      <c r="BZ23">
        <v>0.4</v>
      </c>
      <c r="CA23" s="3">
        <v>0.3</v>
      </c>
      <c r="CB23" s="14">
        <f t="shared" si="24"/>
        <v>0.33333333333333348</v>
      </c>
      <c r="CC23" s="10">
        <v>28.63</v>
      </c>
      <c r="CD23" s="10">
        <v>28.5</v>
      </c>
      <c r="CE23" s="14">
        <f t="shared" si="25"/>
        <v>4.5614035087718947E-3</v>
      </c>
    </row>
    <row r="24" spans="1:83" x14ac:dyDescent="0.35">
      <c r="A24" s="29">
        <v>46104.272465277776</v>
      </c>
      <c r="B24" s="3" t="s">
        <v>25</v>
      </c>
      <c r="C24" s="3">
        <v>60</v>
      </c>
      <c r="D24" s="3">
        <v>19</v>
      </c>
      <c r="E24" s="3">
        <v>187</v>
      </c>
      <c r="F24" s="21">
        <v>403.38</v>
      </c>
      <c r="G24" s="3">
        <v>403.84</v>
      </c>
      <c r="H24" s="14">
        <f t="shared" si="0"/>
        <v>1.1390649762281586E-3</v>
      </c>
      <c r="I24" s="22">
        <v>404.6</v>
      </c>
      <c r="J24" s="3">
        <v>404.15</v>
      </c>
      <c r="K24" s="14">
        <f t="shared" si="1"/>
        <v>1.1134479772362872E-3</v>
      </c>
      <c r="L24" s="22">
        <v>405.29</v>
      </c>
      <c r="M24" s="3">
        <v>404.79</v>
      </c>
      <c r="N24" s="14">
        <f t="shared" si="2"/>
        <v>1.2352083796536475E-3</v>
      </c>
      <c r="O24" s="22">
        <v>232.9</v>
      </c>
      <c r="P24" s="3">
        <v>232.57</v>
      </c>
      <c r="Q24" s="14">
        <f t="shared" si="3"/>
        <v>1.4189276346906845E-3</v>
      </c>
      <c r="R24" s="22">
        <v>233.6</v>
      </c>
      <c r="S24" s="3">
        <v>232.94</v>
      </c>
      <c r="T24" s="14">
        <f t="shared" si="4"/>
        <v>2.8333476431699005E-3</v>
      </c>
      <c r="U24" s="22">
        <v>234</v>
      </c>
      <c r="V24" s="10">
        <v>232.76</v>
      </c>
      <c r="W24" s="14">
        <f t="shared" si="5"/>
        <v>5.3273758377728525E-3</v>
      </c>
      <c r="X24" s="23">
        <v>2.59</v>
      </c>
      <c r="Y24" s="11">
        <v>2.6</v>
      </c>
      <c r="Z24" s="14">
        <f t="shared" si="6"/>
        <v>3.8461538461539348E-3</v>
      </c>
      <c r="AA24" s="23">
        <v>2.6539999999999999</v>
      </c>
      <c r="AB24" s="11">
        <v>2.7</v>
      </c>
      <c r="AC24" s="14">
        <f t="shared" si="7"/>
        <v>1.7037037037037132E-2</v>
      </c>
      <c r="AD24" s="23">
        <v>2.7320000000000002</v>
      </c>
      <c r="AE24" s="11">
        <v>2.7</v>
      </c>
      <c r="AF24" s="14">
        <f t="shared" si="8"/>
        <v>1.1851851851851862E-2</v>
      </c>
      <c r="AG24" s="24">
        <v>221</v>
      </c>
      <c r="AH24" s="6">
        <v>220</v>
      </c>
      <c r="AI24" s="15">
        <f t="shared" si="9"/>
        <v>4.5454545454545452E-3</v>
      </c>
      <c r="AJ24" s="24">
        <v>256</v>
      </c>
      <c r="AK24" s="6">
        <v>255</v>
      </c>
      <c r="AL24" s="14">
        <f t="shared" si="10"/>
        <v>3.9215686274509803E-3</v>
      </c>
      <c r="AM24" s="24">
        <v>238</v>
      </c>
      <c r="AN24" s="6">
        <v>236</v>
      </c>
      <c r="AO24" s="14">
        <f t="shared" si="11"/>
        <v>8.4745762711864406E-3</v>
      </c>
      <c r="AP24" s="24">
        <v>603</v>
      </c>
      <c r="AQ24" s="6">
        <v>601</v>
      </c>
      <c r="AR24" s="14">
        <f t="shared" si="12"/>
        <v>3.3277870216306157E-3</v>
      </c>
      <c r="AS24" s="24">
        <v>620</v>
      </c>
      <c r="AT24" s="3">
        <v>617</v>
      </c>
      <c r="AU24" s="14">
        <f t="shared" si="13"/>
        <v>4.8622366288492711E-3</v>
      </c>
      <c r="AV24" s="24">
        <v>639</v>
      </c>
      <c r="AW24" s="6">
        <v>637</v>
      </c>
      <c r="AX24" s="14">
        <f t="shared" si="14"/>
        <v>3.1397174254317113E-3</v>
      </c>
      <c r="AY24" s="26">
        <v>561</v>
      </c>
      <c r="AZ24" s="6">
        <v>559</v>
      </c>
      <c r="BA24" s="14">
        <f t="shared" si="15"/>
        <v>3.5778175313059034E-3</v>
      </c>
      <c r="BB24" s="27">
        <v>565</v>
      </c>
      <c r="BC24" s="6">
        <v>563</v>
      </c>
      <c r="BD24" s="14">
        <f t="shared" si="16"/>
        <v>3.552397868561279E-3</v>
      </c>
      <c r="BE24" s="24">
        <v>593</v>
      </c>
      <c r="BF24" s="6">
        <v>591</v>
      </c>
      <c r="BG24" s="14">
        <f t="shared" si="17"/>
        <v>3.3840947546531302E-3</v>
      </c>
      <c r="BH24" s="21">
        <v>0.37</v>
      </c>
      <c r="BI24" s="28">
        <v>0.37</v>
      </c>
      <c r="BJ24" s="14">
        <f t="shared" si="18"/>
        <v>0</v>
      </c>
      <c r="BK24" s="21">
        <v>0.41</v>
      </c>
      <c r="BL24" s="28">
        <v>0.41</v>
      </c>
      <c r="BM24" s="14">
        <f t="shared" si="19"/>
        <v>0</v>
      </c>
      <c r="BN24" s="21">
        <v>0.37</v>
      </c>
      <c r="BO24" s="28">
        <v>0.38</v>
      </c>
      <c r="BP24" s="14">
        <f t="shared" si="20"/>
        <v>2.6315789473684233E-2</v>
      </c>
      <c r="BQ24" s="3">
        <v>50</v>
      </c>
      <c r="BR24" s="3">
        <v>50</v>
      </c>
      <c r="BS24" s="13">
        <f t="shared" si="21"/>
        <v>0</v>
      </c>
      <c r="BT24" s="3">
        <v>50</v>
      </c>
      <c r="BU24" s="3">
        <v>50</v>
      </c>
      <c r="BV24" s="13">
        <f t="shared" si="22"/>
        <v>0</v>
      </c>
      <c r="BW24" s="3">
        <v>50</v>
      </c>
      <c r="BX24" s="3">
        <v>50</v>
      </c>
      <c r="BY24" s="13">
        <f t="shared" si="23"/>
        <v>0</v>
      </c>
      <c r="BZ24">
        <v>0.4</v>
      </c>
      <c r="CA24" s="3">
        <v>0.3</v>
      </c>
      <c r="CB24" s="14">
        <f t="shared" si="24"/>
        <v>0.33333333333333348</v>
      </c>
      <c r="CC24" s="10">
        <v>28.53</v>
      </c>
      <c r="CD24" s="10">
        <v>28.5</v>
      </c>
      <c r="CE24" s="14">
        <f t="shared" si="25"/>
        <v>1.0526315789474083E-3</v>
      </c>
    </row>
    <row r="25" spans="1:83" x14ac:dyDescent="0.35">
      <c r="A25" s="29">
        <v>46104.272465277776</v>
      </c>
      <c r="B25" s="3" t="s">
        <v>25</v>
      </c>
      <c r="C25" s="3">
        <v>60</v>
      </c>
      <c r="D25" s="3">
        <v>20</v>
      </c>
      <c r="E25" s="3">
        <v>201</v>
      </c>
      <c r="F25" s="21">
        <v>403.38</v>
      </c>
      <c r="G25" s="3">
        <v>403.84</v>
      </c>
      <c r="H25" s="14">
        <f t="shared" si="0"/>
        <v>1.1390649762281586E-3</v>
      </c>
      <c r="I25" s="22">
        <v>404.6</v>
      </c>
      <c r="J25" s="3">
        <v>404.15</v>
      </c>
      <c r="K25" s="14">
        <f t="shared" si="1"/>
        <v>1.1134479772362872E-3</v>
      </c>
      <c r="L25" s="22">
        <v>405.29</v>
      </c>
      <c r="M25" s="3">
        <v>404.79</v>
      </c>
      <c r="N25" s="14">
        <f t="shared" si="2"/>
        <v>1.2352083796536475E-3</v>
      </c>
      <c r="O25" s="22">
        <v>232.9</v>
      </c>
      <c r="P25" s="3">
        <v>232.57</v>
      </c>
      <c r="Q25" s="14">
        <f t="shared" si="3"/>
        <v>1.4189276346906845E-3</v>
      </c>
      <c r="R25" s="22">
        <v>233.6</v>
      </c>
      <c r="S25" s="3">
        <v>232.94</v>
      </c>
      <c r="T25" s="14">
        <f t="shared" si="4"/>
        <v>2.8333476431699005E-3</v>
      </c>
      <c r="U25" s="22">
        <v>234</v>
      </c>
      <c r="V25" s="10">
        <v>232.76</v>
      </c>
      <c r="W25" s="14">
        <f t="shared" si="5"/>
        <v>5.3273758377728525E-3</v>
      </c>
      <c r="X25" s="23">
        <v>2.593</v>
      </c>
      <c r="Y25" s="11">
        <v>2.6</v>
      </c>
      <c r="Z25" s="14">
        <f t="shared" si="6"/>
        <v>2.6923076923077373E-3</v>
      </c>
      <c r="AA25" s="23">
        <v>2.657</v>
      </c>
      <c r="AB25" s="11">
        <v>2.7</v>
      </c>
      <c r="AC25" s="14">
        <f t="shared" si="7"/>
        <v>1.5925925925925979E-2</v>
      </c>
      <c r="AD25" s="23">
        <v>2.734</v>
      </c>
      <c r="AE25" s="11">
        <v>2.7</v>
      </c>
      <c r="AF25" s="14">
        <f t="shared" si="8"/>
        <v>1.259259259259252E-2</v>
      </c>
      <c r="AG25" s="24">
        <v>221</v>
      </c>
      <c r="AH25" s="6">
        <v>220</v>
      </c>
      <c r="AI25" s="15">
        <f t="shared" si="9"/>
        <v>4.5454545454545452E-3</v>
      </c>
      <c r="AJ25" s="24">
        <v>256</v>
      </c>
      <c r="AK25" s="6">
        <v>255</v>
      </c>
      <c r="AL25" s="14">
        <f t="shared" si="10"/>
        <v>3.9215686274509803E-3</v>
      </c>
      <c r="AM25" s="24">
        <v>239</v>
      </c>
      <c r="AN25" s="6">
        <v>237</v>
      </c>
      <c r="AO25" s="14">
        <f t="shared" si="11"/>
        <v>8.4388185654008432E-3</v>
      </c>
      <c r="AP25" s="24">
        <v>604</v>
      </c>
      <c r="AQ25" s="6">
        <v>602</v>
      </c>
      <c r="AR25" s="14">
        <f t="shared" si="12"/>
        <v>3.3222591362126247E-3</v>
      </c>
      <c r="AS25" s="24">
        <v>621</v>
      </c>
      <c r="AT25" s="3">
        <v>619</v>
      </c>
      <c r="AU25" s="14">
        <f t="shared" si="13"/>
        <v>3.2310177705977385E-3</v>
      </c>
      <c r="AV25" s="24">
        <v>640</v>
      </c>
      <c r="AW25" s="6">
        <v>638</v>
      </c>
      <c r="AX25" s="14">
        <f t="shared" si="14"/>
        <v>3.134796238244514E-3</v>
      </c>
      <c r="AY25" s="26">
        <v>562</v>
      </c>
      <c r="AZ25" s="6">
        <v>560</v>
      </c>
      <c r="BA25" s="14">
        <f t="shared" si="15"/>
        <v>3.5714285714285713E-3</v>
      </c>
      <c r="BB25" s="27">
        <v>566</v>
      </c>
      <c r="BC25" s="6">
        <v>564</v>
      </c>
      <c r="BD25" s="14">
        <f t="shared" si="16"/>
        <v>3.5460992907801418E-3</v>
      </c>
      <c r="BE25" s="24">
        <v>594</v>
      </c>
      <c r="BF25" s="6">
        <v>592</v>
      </c>
      <c r="BG25" s="14">
        <f t="shared" si="17"/>
        <v>3.3783783783783786E-3</v>
      </c>
      <c r="BH25" s="21">
        <v>0.37</v>
      </c>
      <c r="BI25" s="28">
        <v>0.37</v>
      </c>
      <c r="BJ25" s="14">
        <f t="shared" si="18"/>
        <v>0</v>
      </c>
      <c r="BK25" s="21">
        <v>0.41</v>
      </c>
      <c r="BL25" s="28">
        <v>0.41</v>
      </c>
      <c r="BM25" s="14">
        <f t="shared" si="19"/>
        <v>0</v>
      </c>
      <c r="BN25" s="21">
        <v>0.37</v>
      </c>
      <c r="BO25" s="28">
        <v>0.38</v>
      </c>
      <c r="BP25" s="14">
        <f t="shared" si="20"/>
        <v>2.6315789473684233E-2</v>
      </c>
      <c r="BQ25" s="3">
        <v>50</v>
      </c>
      <c r="BR25" s="3">
        <v>50</v>
      </c>
      <c r="BS25" s="13">
        <f t="shared" si="21"/>
        <v>0</v>
      </c>
      <c r="BT25" s="3">
        <v>50</v>
      </c>
      <c r="BU25" s="3">
        <v>50</v>
      </c>
      <c r="BV25" s="13">
        <f t="shared" si="22"/>
        <v>0</v>
      </c>
      <c r="BW25" s="3">
        <v>50</v>
      </c>
      <c r="BX25" s="3">
        <v>50</v>
      </c>
      <c r="BY25" s="13">
        <f t="shared" si="23"/>
        <v>0</v>
      </c>
      <c r="BZ25">
        <v>0.4</v>
      </c>
      <c r="CA25" s="3">
        <v>0.4</v>
      </c>
      <c r="CB25" s="14">
        <f t="shared" si="24"/>
        <v>0</v>
      </c>
      <c r="CC25" s="10">
        <v>28.69</v>
      </c>
      <c r="CD25" s="10">
        <v>28.5</v>
      </c>
      <c r="CE25" s="14">
        <f t="shared" si="25"/>
        <v>6.6666666666667113E-3</v>
      </c>
    </row>
    <row r="26" spans="1:83" x14ac:dyDescent="0.35">
      <c r="A26" s="29">
        <v>46104.272465277776</v>
      </c>
      <c r="B26" s="3" t="s">
        <v>25</v>
      </c>
      <c r="C26" s="3">
        <v>60</v>
      </c>
      <c r="D26" s="3">
        <v>21</v>
      </c>
      <c r="E26" s="3">
        <v>215</v>
      </c>
      <c r="F26" s="21">
        <v>403.38</v>
      </c>
      <c r="G26" s="3">
        <v>403.84</v>
      </c>
      <c r="H26" s="14">
        <f t="shared" si="0"/>
        <v>1.1390649762281586E-3</v>
      </c>
      <c r="I26" s="22">
        <v>404.6</v>
      </c>
      <c r="J26" s="3">
        <v>404.15</v>
      </c>
      <c r="K26" s="14">
        <f t="shared" si="1"/>
        <v>1.1134479772362872E-3</v>
      </c>
      <c r="L26" s="22">
        <v>405.29</v>
      </c>
      <c r="M26" s="3">
        <v>404.79</v>
      </c>
      <c r="N26" s="14">
        <f t="shared" si="2"/>
        <v>1.2352083796536475E-3</v>
      </c>
      <c r="O26" s="22">
        <v>232.9</v>
      </c>
      <c r="P26" s="3">
        <v>232.57</v>
      </c>
      <c r="Q26" s="14">
        <f t="shared" si="3"/>
        <v>1.4189276346906845E-3</v>
      </c>
      <c r="R26" s="22">
        <v>233.6</v>
      </c>
      <c r="S26" s="3">
        <v>232.94</v>
      </c>
      <c r="T26" s="14">
        <f t="shared" si="4"/>
        <v>2.8333476431699005E-3</v>
      </c>
      <c r="U26" s="22">
        <v>234</v>
      </c>
      <c r="V26" s="10">
        <v>232.76</v>
      </c>
      <c r="W26" s="14">
        <f t="shared" si="5"/>
        <v>5.3273758377728525E-3</v>
      </c>
      <c r="X26" s="23">
        <v>2.593</v>
      </c>
      <c r="Y26" s="11">
        <v>2.6</v>
      </c>
      <c r="Z26" s="14">
        <f t="shared" si="6"/>
        <v>2.6923076923077373E-3</v>
      </c>
      <c r="AA26" s="23">
        <v>2.6579999999999999</v>
      </c>
      <c r="AB26" s="11">
        <v>2.7</v>
      </c>
      <c r="AC26" s="14">
        <f t="shared" si="7"/>
        <v>1.5555555555555651E-2</v>
      </c>
      <c r="AD26" s="23">
        <v>2.7349999999999999</v>
      </c>
      <c r="AE26" s="11">
        <v>2.7</v>
      </c>
      <c r="AF26" s="14">
        <f t="shared" si="8"/>
        <v>1.296296296296285E-2</v>
      </c>
      <c r="AG26" s="24">
        <v>221</v>
      </c>
      <c r="AH26" s="6">
        <v>220</v>
      </c>
      <c r="AI26" s="15">
        <f t="shared" si="9"/>
        <v>4.5454545454545452E-3</v>
      </c>
      <c r="AJ26" s="24">
        <v>257</v>
      </c>
      <c r="AK26" s="6">
        <v>256</v>
      </c>
      <c r="AL26" s="14">
        <f t="shared" si="10"/>
        <v>3.90625E-3</v>
      </c>
      <c r="AM26" s="24">
        <v>239</v>
      </c>
      <c r="AN26" s="6">
        <v>237</v>
      </c>
      <c r="AO26" s="14">
        <f t="shared" si="11"/>
        <v>8.4388185654008432E-3</v>
      </c>
      <c r="AP26" s="24">
        <v>604</v>
      </c>
      <c r="AQ26" s="6">
        <v>602</v>
      </c>
      <c r="AR26" s="14">
        <f t="shared" si="12"/>
        <v>3.3222591362126247E-3</v>
      </c>
      <c r="AS26" s="24">
        <v>621</v>
      </c>
      <c r="AT26" s="3">
        <v>619</v>
      </c>
      <c r="AU26" s="14">
        <f t="shared" si="13"/>
        <v>3.2310177705977385E-3</v>
      </c>
      <c r="AV26" s="24">
        <v>640</v>
      </c>
      <c r="AW26" s="6">
        <v>638</v>
      </c>
      <c r="AX26" s="14">
        <f t="shared" si="14"/>
        <v>3.134796238244514E-3</v>
      </c>
      <c r="AY26" s="26">
        <v>562</v>
      </c>
      <c r="AZ26" s="6">
        <v>560</v>
      </c>
      <c r="BA26" s="14">
        <f t="shared" si="15"/>
        <v>3.5714285714285713E-3</v>
      </c>
      <c r="BB26" s="27">
        <v>565</v>
      </c>
      <c r="BC26" s="6">
        <v>563</v>
      </c>
      <c r="BD26" s="14">
        <f t="shared" si="16"/>
        <v>3.552397868561279E-3</v>
      </c>
      <c r="BE26" s="24">
        <v>594</v>
      </c>
      <c r="BF26" s="6">
        <v>592</v>
      </c>
      <c r="BG26" s="14">
        <f t="shared" si="17"/>
        <v>3.3783783783783786E-3</v>
      </c>
      <c r="BH26" s="21">
        <v>0.37</v>
      </c>
      <c r="BI26" s="28">
        <v>0.37</v>
      </c>
      <c r="BJ26" s="14">
        <f t="shared" si="18"/>
        <v>0</v>
      </c>
      <c r="BK26" s="21">
        <v>0.41</v>
      </c>
      <c r="BL26" s="28">
        <v>0.41</v>
      </c>
      <c r="BM26" s="14">
        <f t="shared" si="19"/>
        <v>0</v>
      </c>
      <c r="BN26" s="21">
        <v>0.37</v>
      </c>
      <c r="BO26" s="28">
        <v>0.38</v>
      </c>
      <c r="BP26" s="14">
        <f t="shared" si="20"/>
        <v>2.6315789473684233E-2</v>
      </c>
      <c r="BQ26" s="3">
        <v>50</v>
      </c>
      <c r="BR26" s="3">
        <v>50</v>
      </c>
      <c r="BS26" s="13">
        <f t="shared" si="21"/>
        <v>0</v>
      </c>
      <c r="BT26" s="3">
        <v>50</v>
      </c>
      <c r="BU26" s="3">
        <v>50</v>
      </c>
      <c r="BV26" s="13">
        <f t="shared" si="22"/>
        <v>0</v>
      </c>
      <c r="BW26" s="3">
        <v>50</v>
      </c>
      <c r="BX26" s="3">
        <v>50</v>
      </c>
      <c r="BY26" s="13">
        <f t="shared" si="23"/>
        <v>0</v>
      </c>
      <c r="BZ26">
        <v>0.4</v>
      </c>
      <c r="CA26" s="3">
        <v>0.4</v>
      </c>
      <c r="CB26" s="14">
        <f t="shared" si="24"/>
        <v>0</v>
      </c>
      <c r="CC26" s="10">
        <v>28.47</v>
      </c>
      <c r="CD26" s="10">
        <v>28.5</v>
      </c>
      <c r="CE26" s="14">
        <f t="shared" si="25"/>
        <v>1.0526315789474083E-3</v>
      </c>
    </row>
    <row r="27" spans="1:83" x14ac:dyDescent="0.35">
      <c r="A27" s="29">
        <v>46104.272465277776</v>
      </c>
      <c r="B27" s="3" t="s">
        <v>25</v>
      </c>
      <c r="C27" s="3">
        <v>60</v>
      </c>
      <c r="D27" s="3">
        <v>22</v>
      </c>
      <c r="E27" s="3">
        <v>230</v>
      </c>
      <c r="F27" s="21">
        <v>403.38</v>
      </c>
      <c r="G27" s="3">
        <v>403.84</v>
      </c>
      <c r="H27" s="14">
        <f t="shared" si="0"/>
        <v>1.1390649762281586E-3</v>
      </c>
      <c r="I27" s="22">
        <v>404.6</v>
      </c>
      <c r="J27" s="3">
        <v>404.31</v>
      </c>
      <c r="K27" s="14">
        <f t="shared" si="1"/>
        <v>7.1727140065796157E-4</v>
      </c>
      <c r="L27" s="22">
        <v>405.29</v>
      </c>
      <c r="M27" s="3">
        <v>404.79</v>
      </c>
      <c r="N27" s="14">
        <f t="shared" si="2"/>
        <v>1.2352083796536475E-3</v>
      </c>
      <c r="O27" s="22">
        <v>232.9</v>
      </c>
      <c r="P27" s="3">
        <v>232.57</v>
      </c>
      <c r="Q27" s="14">
        <f t="shared" si="3"/>
        <v>1.4189276346906845E-3</v>
      </c>
      <c r="R27" s="22">
        <v>233.6</v>
      </c>
      <c r="S27" s="3">
        <v>232.94</v>
      </c>
      <c r="T27" s="14">
        <f t="shared" si="4"/>
        <v>2.8333476431699005E-3</v>
      </c>
      <c r="U27" s="22">
        <v>234</v>
      </c>
      <c r="V27" s="10">
        <v>232.76</v>
      </c>
      <c r="W27" s="14">
        <f t="shared" si="5"/>
        <v>5.3273758377728525E-3</v>
      </c>
      <c r="X27" s="23">
        <v>2.5960000000000001</v>
      </c>
      <c r="Y27" s="11">
        <v>2.6</v>
      </c>
      <c r="Z27" s="14">
        <f t="shared" si="6"/>
        <v>1.5384615384615398E-3</v>
      </c>
      <c r="AA27" s="23">
        <v>2.661</v>
      </c>
      <c r="AB27" s="11">
        <v>2.7</v>
      </c>
      <c r="AC27" s="14">
        <f t="shared" si="7"/>
        <v>1.4444444444444498E-2</v>
      </c>
      <c r="AD27" s="23">
        <v>2.7349999999999999</v>
      </c>
      <c r="AE27" s="11">
        <v>2.7</v>
      </c>
      <c r="AF27" s="14">
        <f t="shared" si="8"/>
        <v>1.296296296296285E-2</v>
      </c>
      <c r="AG27" s="24">
        <v>222</v>
      </c>
      <c r="AH27" s="6">
        <v>220</v>
      </c>
      <c r="AI27" s="15">
        <f t="shared" si="9"/>
        <v>9.0909090909090905E-3</v>
      </c>
      <c r="AJ27" s="22">
        <v>257</v>
      </c>
      <c r="AK27" s="6">
        <v>256</v>
      </c>
      <c r="AL27" s="14">
        <f t="shared" si="10"/>
        <v>3.90625E-3</v>
      </c>
      <c r="AM27" s="24">
        <v>240</v>
      </c>
      <c r="AN27" s="6">
        <v>238</v>
      </c>
      <c r="AO27" s="14">
        <f t="shared" si="11"/>
        <v>8.4033613445378148E-3</v>
      </c>
      <c r="AP27" s="24">
        <v>605</v>
      </c>
      <c r="AQ27" s="6">
        <v>603</v>
      </c>
      <c r="AR27" s="14">
        <f t="shared" si="12"/>
        <v>3.3167495854063019E-3</v>
      </c>
      <c r="AS27" s="24">
        <v>622</v>
      </c>
      <c r="AT27" s="3">
        <v>620</v>
      </c>
      <c r="AU27" s="14">
        <f t="shared" si="13"/>
        <v>3.2258064516129032E-3</v>
      </c>
      <c r="AV27" s="24">
        <v>640</v>
      </c>
      <c r="AW27" s="6">
        <v>638</v>
      </c>
      <c r="AX27" s="14">
        <f t="shared" si="14"/>
        <v>3.134796238244514E-3</v>
      </c>
      <c r="AY27" s="26">
        <v>562</v>
      </c>
      <c r="AZ27" s="6">
        <v>560</v>
      </c>
      <c r="BA27" s="14">
        <f t="shared" si="15"/>
        <v>3.5714285714285713E-3</v>
      </c>
      <c r="BB27" s="27">
        <v>566</v>
      </c>
      <c r="BC27" s="6">
        <v>564</v>
      </c>
      <c r="BD27" s="14">
        <f t="shared" si="16"/>
        <v>3.5460992907801418E-3</v>
      </c>
      <c r="BE27" s="24">
        <v>593</v>
      </c>
      <c r="BF27" s="6">
        <v>591</v>
      </c>
      <c r="BG27" s="14">
        <f t="shared" si="17"/>
        <v>3.3840947546531302E-3</v>
      </c>
      <c r="BH27" s="21">
        <v>0.37</v>
      </c>
      <c r="BI27" s="28">
        <v>0.37</v>
      </c>
      <c r="BJ27" s="14">
        <f t="shared" si="18"/>
        <v>0</v>
      </c>
      <c r="BK27" s="21">
        <v>0.41</v>
      </c>
      <c r="BL27" s="28">
        <v>0.41</v>
      </c>
      <c r="BM27" s="14">
        <f t="shared" si="19"/>
        <v>0</v>
      </c>
      <c r="BN27" s="21">
        <v>0.37</v>
      </c>
      <c r="BO27" s="28">
        <v>0.38</v>
      </c>
      <c r="BP27" s="14">
        <f t="shared" si="20"/>
        <v>2.6315789473684233E-2</v>
      </c>
      <c r="BQ27" s="3">
        <v>50</v>
      </c>
      <c r="BR27" s="3">
        <v>50</v>
      </c>
      <c r="BS27" s="13">
        <f t="shared" si="21"/>
        <v>0</v>
      </c>
      <c r="BT27" s="3">
        <v>50</v>
      </c>
      <c r="BU27" s="3">
        <v>50</v>
      </c>
      <c r="BV27" s="13">
        <f t="shared" si="22"/>
        <v>0</v>
      </c>
      <c r="BW27" s="3">
        <v>50</v>
      </c>
      <c r="BX27" s="3">
        <v>50</v>
      </c>
      <c r="BY27" s="13">
        <f t="shared" si="23"/>
        <v>0</v>
      </c>
      <c r="BZ27">
        <v>0.5</v>
      </c>
      <c r="CA27" s="3">
        <v>0.4</v>
      </c>
      <c r="CB27" s="14">
        <f t="shared" si="24"/>
        <v>0.24999999999999994</v>
      </c>
      <c r="CC27" s="10">
        <v>28.25</v>
      </c>
      <c r="CD27" s="10">
        <v>28.5</v>
      </c>
      <c r="CE27" s="14">
        <f t="shared" si="25"/>
        <v>8.771929824561403E-3</v>
      </c>
    </row>
    <row r="28" spans="1:83" x14ac:dyDescent="0.35">
      <c r="A28" s="29">
        <v>46104.272465277776</v>
      </c>
      <c r="B28" s="3" t="s">
        <v>25</v>
      </c>
      <c r="C28" s="3">
        <v>60</v>
      </c>
      <c r="D28" s="3">
        <v>23</v>
      </c>
      <c r="E28" s="3">
        <v>235</v>
      </c>
      <c r="F28" s="21">
        <v>403.56</v>
      </c>
      <c r="G28" s="3">
        <v>403.84</v>
      </c>
      <c r="H28" s="14">
        <f t="shared" si="0"/>
        <v>6.9334389857362503E-4</v>
      </c>
      <c r="I28" s="22">
        <v>404.77</v>
      </c>
      <c r="J28" s="3">
        <v>404.31</v>
      </c>
      <c r="K28" s="14">
        <f t="shared" si="1"/>
        <v>1.1377408424228428E-3</v>
      </c>
      <c r="L28" s="22">
        <v>405.46</v>
      </c>
      <c r="M28" s="3">
        <v>404.79</v>
      </c>
      <c r="N28" s="14">
        <f t="shared" si="2"/>
        <v>1.6551792287357865E-3</v>
      </c>
      <c r="O28" s="22">
        <v>233</v>
      </c>
      <c r="P28" s="3">
        <v>232.57</v>
      </c>
      <c r="Q28" s="14">
        <f t="shared" si="3"/>
        <v>1.848905705809033E-3</v>
      </c>
      <c r="R28" s="22">
        <v>233.7</v>
      </c>
      <c r="S28" s="3">
        <v>232.94</v>
      </c>
      <c r="T28" s="14">
        <f t="shared" si="4"/>
        <v>3.2626427406198632E-3</v>
      </c>
      <c r="U28" s="22">
        <v>234.1</v>
      </c>
      <c r="V28" s="10">
        <v>232.76</v>
      </c>
      <c r="W28" s="14">
        <f t="shared" si="5"/>
        <v>5.7570029214641842E-3</v>
      </c>
      <c r="X28" s="23">
        <v>2.5979999999999999</v>
      </c>
      <c r="Y28" s="11">
        <v>2.6</v>
      </c>
      <c r="Z28" s="14">
        <f t="shared" si="6"/>
        <v>7.6923076923085532E-4</v>
      </c>
      <c r="AA28" s="23">
        <v>2.6640000000000001</v>
      </c>
      <c r="AB28" s="11">
        <v>2.7</v>
      </c>
      <c r="AC28" s="14">
        <f t="shared" si="7"/>
        <v>1.3333333333333345E-2</v>
      </c>
      <c r="AD28" s="23">
        <v>2.7389999999999999</v>
      </c>
      <c r="AE28" s="11">
        <v>2.7</v>
      </c>
      <c r="AF28" s="14">
        <f t="shared" si="8"/>
        <v>1.4444444444444333E-2</v>
      </c>
      <c r="AG28" s="24">
        <v>221</v>
      </c>
      <c r="AH28" s="6">
        <v>220</v>
      </c>
      <c r="AI28" s="15">
        <f t="shared" si="9"/>
        <v>4.5454545454545452E-3</v>
      </c>
      <c r="AJ28" s="22">
        <v>259</v>
      </c>
      <c r="AK28" s="6">
        <v>257</v>
      </c>
      <c r="AL28" s="14">
        <f t="shared" si="10"/>
        <v>7.7821011673151752E-3</v>
      </c>
      <c r="AM28" s="24">
        <v>239</v>
      </c>
      <c r="AN28" s="6">
        <v>237</v>
      </c>
      <c r="AO28" s="14">
        <f t="shared" si="11"/>
        <v>8.4388185654008432E-3</v>
      </c>
      <c r="AP28" s="24">
        <v>605</v>
      </c>
      <c r="AQ28" s="6">
        <v>603</v>
      </c>
      <c r="AR28" s="14">
        <f t="shared" si="12"/>
        <v>3.3167495854063019E-3</v>
      </c>
      <c r="AS28" s="24">
        <v>623</v>
      </c>
      <c r="AT28" s="3">
        <v>621</v>
      </c>
      <c r="AU28" s="14">
        <f t="shared" si="13"/>
        <v>3.2206119162640902E-3</v>
      </c>
      <c r="AV28" s="24">
        <v>641</v>
      </c>
      <c r="AW28" s="6">
        <v>639</v>
      </c>
      <c r="AX28" s="14">
        <f t="shared" si="14"/>
        <v>3.1298904538341159E-3</v>
      </c>
      <c r="AY28" s="26">
        <v>563</v>
      </c>
      <c r="AZ28" s="6">
        <v>561</v>
      </c>
      <c r="BA28" s="14">
        <f t="shared" si="15"/>
        <v>3.5650623885918001E-3</v>
      </c>
      <c r="BB28" s="27">
        <v>566</v>
      </c>
      <c r="BC28" s="6">
        <v>564</v>
      </c>
      <c r="BD28" s="14">
        <f t="shared" si="16"/>
        <v>3.5460992907801418E-3</v>
      </c>
      <c r="BE28" s="24">
        <v>595</v>
      </c>
      <c r="BF28" s="6">
        <v>593</v>
      </c>
      <c r="BG28" s="14">
        <f t="shared" si="17"/>
        <v>3.3726812816188868E-3</v>
      </c>
      <c r="BH28" s="21">
        <v>0.37</v>
      </c>
      <c r="BI28" s="28">
        <v>0.37</v>
      </c>
      <c r="BJ28" s="14">
        <f t="shared" si="18"/>
        <v>0</v>
      </c>
      <c r="BK28" s="21">
        <v>0.42</v>
      </c>
      <c r="BL28" s="28">
        <v>0.42</v>
      </c>
      <c r="BM28" s="14">
        <f t="shared" si="19"/>
        <v>0</v>
      </c>
      <c r="BN28" s="21">
        <v>0.37</v>
      </c>
      <c r="BO28" s="28">
        <v>0.38</v>
      </c>
      <c r="BP28" s="14">
        <f t="shared" si="20"/>
        <v>2.6315789473684233E-2</v>
      </c>
      <c r="BQ28" s="3">
        <v>50</v>
      </c>
      <c r="BR28" s="3">
        <v>50</v>
      </c>
      <c r="BS28" s="13">
        <f t="shared" si="21"/>
        <v>0</v>
      </c>
      <c r="BT28" s="3">
        <v>50</v>
      </c>
      <c r="BU28" s="3">
        <v>50</v>
      </c>
      <c r="BV28" s="13">
        <f t="shared" si="22"/>
        <v>0</v>
      </c>
      <c r="BW28" s="3">
        <v>50</v>
      </c>
      <c r="BX28" s="3">
        <v>50</v>
      </c>
      <c r="BY28" s="13">
        <f t="shared" si="23"/>
        <v>0</v>
      </c>
      <c r="BZ28">
        <v>0.4</v>
      </c>
      <c r="CA28" s="3">
        <v>0.4</v>
      </c>
      <c r="CB28" s="14">
        <f t="shared" si="24"/>
        <v>0</v>
      </c>
      <c r="CC28" s="10">
        <v>28.25</v>
      </c>
      <c r="CD28" s="10">
        <v>28.5</v>
      </c>
      <c r="CE28" s="14">
        <f t="shared" si="25"/>
        <v>8.771929824561403E-3</v>
      </c>
    </row>
    <row r="29" spans="1:83" x14ac:dyDescent="0.35">
      <c r="A29" s="29">
        <v>46104.272465277776</v>
      </c>
      <c r="B29" s="3" t="s">
        <v>25</v>
      </c>
      <c r="C29" s="3">
        <v>60</v>
      </c>
      <c r="D29" s="3">
        <v>24</v>
      </c>
      <c r="E29" s="3">
        <v>237</v>
      </c>
      <c r="F29" s="21">
        <v>403.56</v>
      </c>
      <c r="G29" s="3">
        <v>403.84</v>
      </c>
      <c r="H29" s="14">
        <f t="shared" si="0"/>
        <v>6.9334389857362503E-4</v>
      </c>
      <c r="I29" s="22">
        <v>404.77</v>
      </c>
      <c r="J29" s="3">
        <v>404.31</v>
      </c>
      <c r="K29" s="14">
        <f t="shared" si="1"/>
        <v>1.1377408424228428E-3</v>
      </c>
      <c r="L29" s="22">
        <v>405.46</v>
      </c>
      <c r="M29" s="3">
        <v>404.79</v>
      </c>
      <c r="N29" s="14">
        <f t="shared" si="2"/>
        <v>1.6551792287357865E-3</v>
      </c>
      <c r="O29" s="22">
        <v>233</v>
      </c>
      <c r="P29" s="3">
        <v>232.57</v>
      </c>
      <c r="Q29" s="14">
        <f t="shared" si="3"/>
        <v>1.848905705809033E-3</v>
      </c>
      <c r="R29" s="22">
        <v>233.7</v>
      </c>
      <c r="S29" s="3">
        <v>232.94</v>
      </c>
      <c r="T29" s="14">
        <f t="shared" si="4"/>
        <v>3.2626427406198632E-3</v>
      </c>
      <c r="U29" s="22">
        <v>234.1</v>
      </c>
      <c r="V29" s="10">
        <v>232.76</v>
      </c>
      <c r="W29" s="14">
        <f t="shared" si="5"/>
        <v>5.7570029214641842E-3</v>
      </c>
      <c r="X29" s="23">
        <v>2.597</v>
      </c>
      <c r="Y29" s="11">
        <v>2.6</v>
      </c>
      <c r="Z29" s="14">
        <f t="shared" si="6"/>
        <v>1.1538461538461975E-3</v>
      </c>
      <c r="AA29" s="23">
        <v>2.6640000000000001</v>
      </c>
      <c r="AB29" s="11">
        <v>2.7</v>
      </c>
      <c r="AC29" s="14">
        <f t="shared" si="7"/>
        <v>1.3333333333333345E-2</v>
      </c>
      <c r="AD29" s="23">
        <v>2.74</v>
      </c>
      <c r="AE29" s="11">
        <v>2.7</v>
      </c>
      <c r="AF29" s="14">
        <f t="shared" si="8"/>
        <v>1.4814814814814828E-2</v>
      </c>
      <c r="AG29" s="24">
        <v>223</v>
      </c>
      <c r="AH29" s="6">
        <v>221</v>
      </c>
      <c r="AI29" s="15">
        <f t="shared" si="9"/>
        <v>9.0497737556561094E-3</v>
      </c>
      <c r="AJ29" s="24">
        <v>259</v>
      </c>
      <c r="AK29" s="6">
        <v>257</v>
      </c>
      <c r="AL29" s="14">
        <f t="shared" si="10"/>
        <v>7.7821011673151752E-3</v>
      </c>
      <c r="AM29" s="24">
        <v>241</v>
      </c>
      <c r="AN29" s="6">
        <v>239</v>
      </c>
      <c r="AO29" s="14">
        <f t="shared" si="11"/>
        <v>8.368200836820083E-3</v>
      </c>
      <c r="AP29" s="24">
        <v>605</v>
      </c>
      <c r="AQ29" s="6">
        <v>603</v>
      </c>
      <c r="AR29" s="14">
        <f t="shared" si="12"/>
        <v>3.3167495854063019E-3</v>
      </c>
      <c r="AS29" s="24">
        <v>623</v>
      </c>
      <c r="AT29" s="3">
        <v>621</v>
      </c>
      <c r="AU29" s="14">
        <f t="shared" si="13"/>
        <v>3.2206119162640902E-3</v>
      </c>
      <c r="AV29" s="24">
        <v>641</v>
      </c>
      <c r="AW29" s="6">
        <v>639</v>
      </c>
      <c r="AX29" s="14">
        <f t="shared" si="14"/>
        <v>3.1298904538341159E-3</v>
      </c>
      <c r="AY29" s="26">
        <v>562</v>
      </c>
      <c r="AZ29" s="6">
        <v>560</v>
      </c>
      <c r="BA29" s="14">
        <f t="shared" si="15"/>
        <v>3.5714285714285713E-3</v>
      </c>
      <c r="BB29" s="27">
        <v>566</v>
      </c>
      <c r="BC29" s="6">
        <v>564</v>
      </c>
      <c r="BD29" s="14">
        <f t="shared" si="16"/>
        <v>3.5460992907801418E-3</v>
      </c>
      <c r="BE29" s="24">
        <v>594</v>
      </c>
      <c r="BF29" s="6">
        <v>592</v>
      </c>
      <c r="BG29" s="14">
        <f t="shared" si="17"/>
        <v>3.3783783783783786E-3</v>
      </c>
      <c r="BH29" s="21">
        <v>0.37</v>
      </c>
      <c r="BI29" s="28">
        <v>0.37</v>
      </c>
      <c r="BJ29" s="14">
        <f t="shared" si="18"/>
        <v>0</v>
      </c>
      <c r="BK29" s="21">
        <v>0.42</v>
      </c>
      <c r="BL29" s="28">
        <v>0.42</v>
      </c>
      <c r="BM29" s="14">
        <f t="shared" si="19"/>
        <v>0</v>
      </c>
      <c r="BN29" s="21">
        <v>0.38</v>
      </c>
      <c r="BO29" s="28">
        <v>0.38</v>
      </c>
      <c r="BP29" s="14">
        <f t="shared" si="20"/>
        <v>0</v>
      </c>
      <c r="BQ29" s="3">
        <v>50</v>
      </c>
      <c r="BR29" s="3">
        <v>50</v>
      </c>
      <c r="BS29" s="13">
        <f t="shared" si="21"/>
        <v>0</v>
      </c>
      <c r="BT29" s="3">
        <v>50</v>
      </c>
      <c r="BU29" s="3">
        <v>50</v>
      </c>
      <c r="BV29" s="13">
        <f t="shared" si="22"/>
        <v>0</v>
      </c>
      <c r="BW29" s="3">
        <v>50</v>
      </c>
      <c r="BX29" s="3">
        <v>50</v>
      </c>
      <c r="BY29" s="13">
        <f t="shared" si="23"/>
        <v>0</v>
      </c>
      <c r="BZ29">
        <v>0.4</v>
      </c>
      <c r="CA29" s="3">
        <v>0.4</v>
      </c>
      <c r="CB29" s="14">
        <f t="shared" si="24"/>
        <v>0</v>
      </c>
      <c r="CC29" s="10">
        <v>28.25</v>
      </c>
      <c r="CD29" s="10">
        <v>28.5</v>
      </c>
      <c r="CE29" s="14">
        <f t="shared" si="25"/>
        <v>8.771929824561403E-3</v>
      </c>
    </row>
    <row r="30" spans="1:83" x14ac:dyDescent="0.35">
      <c r="A30" s="29">
        <v>46104.272465277776</v>
      </c>
      <c r="B30" s="3" t="s">
        <v>25</v>
      </c>
      <c r="C30" s="3">
        <v>60</v>
      </c>
      <c r="D30" s="3">
        <v>25</v>
      </c>
      <c r="E30" s="3">
        <v>240</v>
      </c>
      <c r="F30" s="21">
        <v>403.56</v>
      </c>
      <c r="G30" s="3">
        <v>402.75</v>
      </c>
      <c r="H30" s="14">
        <f t="shared" si="0"/>
        <v>2.0111731843575477E-3</v>
      </c>
      <c r="I30" s="22">
        <v>404.77</v>
      </c>
      <c r="J30" s="3">
        <v>404.31</v>
      </c>
      <c r="K30" s="14">
        <f t="shared" si="1"/>
        <v>1.1377408424228428E-3</v>
      </c>
      <c r="L30" s="22">
        <v>405.46</v>
      </c>
      <c r="M30" s="3">
        <v>404.79</v>
      </c>
      <c r="N30" s="14">
        <f t="shared" si="2"/>
        <v>1.6551792287357865E-3</v>
      </c>
      <c r="O30" s="22">
        <v>233</v>
      </c>
      <c r="P30" s="3">
        <v>232.57</v>
      </c>
      <c r="Q30" s="14">
        <f t="shared" si="3"/>
        <v>1.848905705809033E-3</v>
      </c>
      <c r="R30" s="22">
        <v>233.7</v>
      </c>
      <c r="S30" s="3">
        <v>232.94</v>
      </c>
      <c r="T30" s="14">
        <f t="shared" si="4"/>
        <v>3.2626427406198632E-3</v>
      </c>
      <c r="U30" s="22">
        <v>234.1</v>
      </c>
      <c r="V30" s="10">
        <v>232.76</v>
      </c>
      <c r="W30" s="14">
        <f t="shared" si="5"/>
        <v>5.7570029214641842E-3</v>
      </c>
      <c r="X30" s="23">
        <v>2.601</v>
      </c>
      <c r="Y30" s="11">
        <v>2.6</v>
      </c>
      <c r="Z30" s="14">
        <f t="shared" si="6"/>
        <v>3.8461538461534222E-4</v>
      </c>
      <c r="AA30" s="23">
        <v>2.6659999999999999</v>
      </c>
      <c r="AB30" s="11">
        <v>2.7</v>
      </c>
      <c r="AC30" s="14">
        <f t="shared" si="7"/>
        <v>1.2592592592592685E-2</v>
      </c>
      <c r="AD30" s="23">
        <v>2.7410000000000001</v>
      </c>
      <c r="AE30" s="11">
        <v>2.7</v>
      </c>
      <c r="AF30" s="14">
        <f t="shared" si="8"/>
        <v>1.5185185185185156E-2</v>
      </c>
      <c r="AG30" s="24">
        <v>223</v>
      </c>
      <c r="AH30" s="6">
        <v>221</v>
      </c>
      <c r="AI30" s="15">
        <f t="shared" si="9"/>
        <v>9.0497737556561094E-3</v>
      </c>
      <c r="AJ30" s="22">
        <v>259</v>
      </c>
      <c r="AK30" s="6">
        <v>257</v>
      </c>
      <c r="AL30" s="14">
        <f t="shared" si="10"/>
        <v>7.7821011673151752E-3</v>
      </c>
      <c r="AM30" s="24">
        <v>241</v>
      </c>
      <c r="AN30" s="6">
        <v>239</v>
      </c>
      <c r="AO30" s="14">
        <f t="shared" si="11"/>
        <v>8.368200836820083E-3</v>
      </c>
      <c r="AP30" s="24">
        <v>606</v>
      </c>
      <c r="AQ30" s="6">
        <v>604</v>
      </c>
      <c r="AR30" s="14">
        <f t="shared" si="12"/>
        <v>3.3112582781456954E-3</v>
      </c>
      <c r="AS30" s="24">
        <v>623</v>
      </c>
      <c r="AT30" s="3">
        <v>621</v>
      </c>
      <c r="AU30" s="14">
        <f t="shared" si="13"/>
        <v>3.2206119162640902E-3</v>
      </c>
      <c r="AV30" s="24">
        <v>642</v>
      </c>
      <c r="AW30" s="6">
        <v>640</v>
      </c>
      <c r="AX30" s="14">
        <f t="shared" si="14"/>
        <v>3.1250000000000002E-3</v>
      </c>
      <c r="AY30" s="26">
        <v>563</v>
      </c>
      <c r="AZ30" s="6">
        <v>561</v>
      </c>
      <c r="BA30" s="14">
        <f t="shared" si="15"/>
        <v>3.5650623885918001E-3</v>
      </c>
      <c r="BB30" s="27">
        <v>567</v>
      </c>
      <c r="BC30" s="6">
        <v>565</v>
      </c>
      <c r="BD30" s="14">
        <f t="shared" si="16"/>
        <v>3.5398230088495575E-3</v>
      </c>
      <c r="BE30" s="24">
        <v>595</v>
      </c>
      <c r="BF30" s="6">
        <v>593</v>
      </c>
      <c r="BG30" s="14">
        <f t="shared" si="17"/>
        <v>3.3726812816188868E-3</v>
      </c>
      <c r="BH30" s="21">
        <v>0.37</v>
      </c>
      <c r="BI30" s="28">
        <v>0.37</v>
      </c>
      <c r="BJ30" s="14">
        <f t="shared" si="18"/>
        <v>0</v>
      </c>
      <c r="BK30" s="21">
        <v>0.42</v>
      </c>
      <c r="BL30" s="28">
        <v>0.42</v>
      </c>
      <c r="BM30" s="14">
        <f t="shared" si="19"/>
        <v>0</v>
      </c>
      <c r="BN30" s="21">
        <v>0.38</v>
      </c>
      <c r="BO30" s="28">
        <v>0.38</v>
      </c>
      <c r="BP30" s="14">
        <f t="shared" si="20"/>
        <v>0</v>
      </c>
      <c r="BQ30" s="3">
        <v>50</v>
      </c>
      <c r="BR30" s="3">
        <v>50</v>
      </c>
      <c r="BS30" s="13">
        <f t="shared" si="21"/>
        <v>0</v>
      </c>
      <c r="BT30" s="3">
        <v>50</v>
      </c>
      <c r="BU30" s="3">
        <v>50</v>
      </c>
      <c r="BV30" s="13">
        <f t="shared" si="22"/>
        <v>0</v>
      </c>
      <c r="BW30" s="3">
        <v>50</v>
      </c>
      <c r="BX30" s="3">
        <v>50</v>
      </c>
      <c r="BY30" s="13">
        <f t="shared" si="23"/>
        <v>0</v>
      </c>
      <c r="BZ30">
        <v>0.5</v>
      </c>
      <c r="CA30" s="3">
        <v>0.4</v>
      </c>
      <c r="CB30" s="14">
        <f t="shared" si="24"/>
        <v>0.24999999999999994</v>
      </c>
      <c r="CC30" s="10">
        <v>28.27</v>
      </c>
      <c r="CD30" s="10">
        <v>28.5</v>
      </c>
      <c r="CE30" s="14">
        <f t="shared" si="25"/>
        <v>8.0701754385965069E-3</v>
      </c>
    </row>
    <row r="31" spans="1:83" x14ac:dyDescent="0.35">
      <c r="A31" s="29">
        <v>46104.272465277776</v>
      </c>
      <c r="B31" s="3" t="s">
        <v>25</v>
      </c>
      <c r="C31" s="3">
        <v>60</v>
      </c>
      <c r="D31" s="3">
        <v>26</v>
      </c>
      <c r="E31" s="3">
        <v>242</v>
      </c>
      <c r="F31" s="21">
        <v>403.38</v>
      </c>
      <c r="G31" s="3">
        <v>404.46</v>
      </c>
      <c r="H31" s="14">
        <f t="shared" si="0"/>
        <v>2.6702269692923507E-3</v>
      </c>
      <c r="I31" s="22">
        <v>404.77</v>
      </c>
      <c r="J31" s="3">
        <v>404.31</v>
      </c>
      <c r="K31" s="14">
        <f t="shared" si="1"/>
        <v>1.1377408424228428E-3</v>
      </c>
      <c r="L31" s="22">
        <v>405.46</v>
      </c>
      <c r="M31" s="3">
        <v>405.15</v>
      </c>
      <c r="N31" s="14">
        <f t="shared" si="2"/>
        <v>7.651487103541955E-4</v>
      </c>
      <c r="O31" s="22">
        <v>232.9</v>
      </c>
      <c r="P31" s="3">
        <v>232.57</v>
      </c>
      <c r="Q31" s="14">
        <f t="shared" si="3"/>
        <v>1.4189276346906845E-3</v>
      </c>
      <c r="R31" s="22">
        <v>233.7</v>
      </c>
      <c r="S31" s="3">
        <v>232.94</v>
      </c>
      <c r="T31" s="14">
        <f t="shared" si="4"/>
        <v>3.2626427406198632E-3</v>
      </c>
      <c r="U31" s="22">
        <v>234.1</v>
      </c>
      <c r="V31" s="10">
        <v>232.76</v>
      </c>
      <c r="W31" s="14">
        <f t="shared" si="5"/>
        <v>5.7570029214641842E-3</v>
      </c>
      <c r="X31" s="23">
        <v>2.5990000000000002</v>
      </c>
      <c r="Y31" s="11">
        <v>2.6</v>
      </c>
      <c r="Z31" s="14">
        <f t="shared" si="6"/>
        <v>3.8461538461534222E-4</v>
      </c>
      <c r="AA31" s="23">
        <v>2.6640000000000001</v>
      </c>
      <c r="AB31" s="11">
        <v>2.7</v>
      </c>
      <c r="AC31" s="14">
        <f t="shared" si="7"/>
        <v>1.3333333333333345E-2</v>
      </c>
      <c r="AD31" s="23">
        <v>2.742</v>
      </c>
      <c r="AE31" s="11">
        <v>2.7</v>
      </c>
      <c r="AF31" s="14">
        <f t="shared" si="8"/>
        <v>1.5555555555555486E-2</v>
      </c>
      <c r="AG31" s="24">
        <v>224</v>
      </c>
      <c r="AH31" s="6">
        <v>222</v>
      </c>
      <c r="AI31" s="15">
        <f t="shared" si="9"/>
        <v>9.0090090090090089E-3</v>
      </c>
      <c r="AJ31" s="22">
        <v>259</v>
      </c>
      <c r="AK31" s="6">
        <v>257</v>
      </c>
      <c r="AL31" s="14">
        <f t="shared" si="10"/>
        <v>7.7821011673151752E-3</v>
      </c>
      <c r="AM31" s="24">
        <v>242</v>
      </c>
      <c r="AN31" s="6">
        <v>240</v>
      </c>
      <c r="AO31" s="14">
        <f t="shared" si="11"/>
        <v>8.3333333333333332E-3</v>
      </c>
      <c r="AP31" s="24">
        <v>605</v>
      </c>
      <c r="AQ31" s="6">
        <v>603</v>
      </c>
      <c r="AR31" s="14">
        <f t="shared" si="12"/>
        <v>3.3167495854063019E-3</v>
      </c>
      <c r="AS31" s="24">
        <v>623</v>
      </c>
      <c r="AT31" s="3">
        <v>621</v>
      </c>
      <c r="AU31" s="14">
        <f t="shared" si="13"/>
        <v>3.2206119162640902E-3</v>
      </c>
      <c r="AV31" s="24">
        <v>642</v>
      </c>
      <c r="AW31" s="6">
        <v>640</v>
      </c>
      <c r="AX31" s="14">
        <f t="shared" si="14"/>
        <v>3.1250000000000002E-3</v>
      </c>
      <c r="AY31" s="26">
        <v>562</v>
      </c>
      <c r="AZ31" s="6">
        <v>560</v>
      </c>
      <c r="BA31" s="14">
        <f t="shared" si="15"/>
        <v>3.5714285714285713E-3</v>
      </c>
      <c r="BB31" s="27">
        <v>566</v>
      </c>
      <c r="BC31" s="6">
        <v>564</v>
      </c>
      <c r="BD31" s="14">
        <f t="shared" si="16"/>
        <v>3.5460992907801418E-3</v>
      </c>
      <c r="BE31" s="24">
        <v>594</v>
      </c>
      <c r="BF31" s="6">
        <v>592</v>
      </c>
      <c r="BG31" s="14">
        <f t="shared" si="17"/>
        <v>3.3783783783783786E-3</v>
      </c>
      <c r="BH31" s="21">
        <v>0.37</v>
      </c>
      <c r="BI31" s="28">
        <v>0.37</v>
      </c>
      <c r="BJ31" s="14">
        <f t="shared" si="18"/>
        <v>0</v>
      </c>
      <c r="BK31" s="21">
        <v>0.42</v>
      </c>
      <c r="BL31" s="28">
        <v>0.42</v>
      </c>
      <c r="BM31" s="14">
        <f t="shared" si="19"/>
        <v>0</v>
      </c>
      <c r="BN31" s="21">
        <v>0.38</v>
      </c>
      <c r="BO31" s="28">
        <v>0.38</v>
      </c>
      <c r="BP31" s="14">
        <f t="shared" si="20"/>
        <v>0</v>
      </c>
      <c r="BQ31" s="3">
        <v>50</v>
      </c>
      <c r="BR31" s="3">
        <v>50</v>
      </c>
      <c r="BS31" s="13">
        <f t="shared" si="21"/>
        <v>0</v>
      </c>
      <c r="BT31" s="3">
        <v>50</v>
      </c>
      <c r="BU31" s="3">
        <v>50</v>
      </c>
      <c r="BV31" s="13">
        <f t="shared" si="22"/>
        <v>0</v>
      </c>
      <c r="BW31" s="3">
        <v>50</v>
      </c>
      <c r="BX31" s="3">
        <v>50</v>
      </c>
      <c r="BY31" s="13">
        <f t="shared" si="23"/>
        <v>0</v>
      </c>
      <c r="BZ31">
        <v>0.5</v>
      </c>
      <c r="CA31" s="3">
        <v>0.4</v>
      </c>
      <c r="CB31" s="14">
        <f t="shared" si="24"/>
        <v>0.24999999999999994</v>
      </c>
      <c r="CC31" s="10">
        <v>28.31</v>
      </c>
      <c r="CD31" s="10">
        <v>28.5</v>
      </c>
      <c r="CE31" s="14">
        <f t="shared" si="25"/>
        <v>6.6666666666667113E-3</v>
      </c>
    </row>
    <row r="32" spans="1:83" x14ac:dyDescent="0.35">
      <c r="A32" s="29">
        <v>46104.272465277776</v>
      </c>
      <c r="B32" s="3" t="s">
        <v>25</v>
      </c>
      <c r="C32" s="3">
        <v>60</v>
      </c>
      <c r="D32" s="3">
        <v>27</v>
      </c>
      <c r="E32" s="3">
        <v>244</v>
      </c>
      <c r="F32" s="21">
        <v>403.38</v>
      </c>
      <c r="G32" s="3">
        <v>404.46</v>
      </c>
      <c r="H32" s="14">
        <f t="shared" si="0"/>
        <v>2.6702269692923507E-3</v>
      </c>
      <c r="I32" s="22">
        <v>404.6</v>
      </c>
      <c r="J32" s="3">
        <v>404.31</v>
      </c>
      <c r="K32" s="14">
        <f t="shared" si="1"/>
        <v>7.1727140065796157E-4</v>
      </c>
      <c r="L32" s="22">
        <v>405.29</v>
      </c>
      <c r="M32" s="3">
        <v>405.15</v>
      </c>
      <c r="N32" s="14">
        <f t="shared" si="2"/>
        <v>3.4555103048264396E-4</v>
      </c>
      <c r="O32" s="22">
        <v>232.9</v>
      </c>
      <c r="P32" s="3">
        <v>232.63</v>
      </c>
      <c r="Q32" s="14">
        <f t="shared" si="3"/>
        <v>1.1606413618192419E-3</v>
      </c>
      <c r="R32" s="22">
        <v>233.6</v>
      </c>
      <c r="S32" s="3">
        <v>232.94</v>
      </c>
      <c r="T32" s="14">
        <f t="shared" si="4"/>
        <v>2.8333476431699005E-3</v>
      </c>
      <c r="U32" s="22">
        <v>234</v>
      </c>
      <c r="V32" s="10">
        <v>232.76</v>
      </c>
      <c r="W32" s="14">
        <f t="shared" si="5"/>
        <v>5.3273758377728525E-3</v>
      </c>
      <c r="X32" s="23">
        <v>2.6</v>
      </c>
      <c r="Y32" s="11">
        <v>2.6</v>
      </c>
      <c r="Z32" s="14">
        <f t="shared" si="6"/>
        <v>0</v>
      </c>
      <c r="AA32" s="23">
        <v>2.6640000000000001</v>
      </c>
      <c r="AB32" s="11">
        <v>2.7</v>
      </c>
      <c r="AC32" s="14">
        <f t="shared" si="7"/>
        <v>1.3333333333333345E-2</v>
      </c>
      <c r="AD32" s="23">
        <v>2.7389999999999999</v>
      </c>
      <c r="AE32" s="11">
        <v>2.7</v>
      </c>
      <c r="AF32" s="14">
        <f t="shared" si="8"/>
        <v>1.4444444444444333E-2</v>
      </c>
      <c r="AG32" s="24">
        <v>224</v>
      </c>
      <c r="AH32" s="6">
        <v>222</v>
      </c>
      <c r="AI32" s="15">
        <f t="shared" si="9"/>
        <v>9.0090090090090089E-3</v>
      </c>
      <c r="AJ32" s="22">
        <v>259</v>
      </c>
      <c r="AK32" s="6">
        <v>257</v>
      </c>
      <c r="AL32" s="14">
        <f t="shared" si="10"/>
        <v>7.7821011673151752E-3</v>
      </c>
      <c r="AM32" s="24">
        <v>242</v>
      </c>
      <c r="AN32" s="6">
        <v>240</v>
      </c>
      <c r="AO32" s="14">
        <f t="shared" si="11"/>
        <v>8.3333333333333332E-3</v>
      </c>
      <c r="AP32" s="24">
        <v>606</v>
      </c>
      <c r="AQ32" s="6">
        <v>604</v>
      </c>
      <c r="AR32" s="14">
        <f t="shared" si="12"/>
        <v>3.3112582781456954E-3</v>
      </c>
      <c r="AS32" s="24">
        <v>622</v>
      </c>
      <c r="AT32" s="3">
        <v>620</v>
      </c>
      <c r="AU32" s="14">
        <f t="shared" si="13"/>
        <v>3.2258064516129032E-3</v>
      </c>
      <c r="AV32" s="24">
        <v>641</v>
      </c>
      <c r="AW32" s="6">
        <v>639</v>
      </c>
      <c r="AX32" s="14">
        <f t="shared" si="14"/>
        <v>3.1298904538341159E-3</v>
      </c>
      <c r="AY32" s="26">
        <v>563</v>
      </c>
      <c r="AZ32" s="6">
        <v>561</v>
      </c>
      <c r="BA32" s="14">
        <f t="shared" si="15"/>
        <v>3.5650623885918001E-3</v>
      </c>
      <c r="BB32" s="27">
        <v>566</v>
      </c>
      <c r="BC32" s="6">
        <v>564</v>
      </c>
      <c r="BD32" s="14">
        <f t="shared" si="16"/>
        <v>3.5460992907801418E-3</v>
      </c>
      <c r="BE32" s="24">
        <v>594</v>
      </c>
      <c r="BF32" s="6">
        <v>592</v>
      </c>
      <c r="BG32" s="14">
        <f t="shared" si="17"/>
        <v>3.3783783783783786E-3</v>
      </c>
      <c r="BH32" s="21">
        <v>0.37</v>
      </c>
      <c r="BI32" s="28">
        <v>0.37</v>
      </c>
      <c r="BJ32" s="14">
        <f t="shared" si="18"/>
        <v>0</v>
      </c>
      <c r="BK32" s="21">
        <v>0.42</v>
      </c>
      <c r="BL32" s="28">
        <v>0.42</v>
      </c>
      <c r="BM32" s="14">
        <f t="shared" si="19"/>
        <v>0</v>
      </c>
      <c r="BN32" s="21">
        <v>0.38</v>
      </c>
      <c r="BO32" s="28">
        <v>0.38</v>
      </c>
      <c r="BP32" s="14">
        <f t="shared" si="20"/>
        <v>0</v>
      </c>
      <c r="BQ32" s="3">
        <v>50</v>
      </c>
      <c r="BR32" s="3">
        <v>50</v>
      </c>
      <c r="BS32" s="13">
        <f t="shared" si="21"/>
        <v>0</v>
      </c>
      <c r="BT32" s="3">
        <v>50</v>
      </c>
      <c r="BU32" s="3">
        <v>50</v>
      </c>
      <c r="BV32" s="13">
        <f t="shared" si="22"/>
        <v>0</v>
      </c>
      <c r="BW32" s="3">
        <v>50</v>
      </c>
      <c r="BX32" s="3">
        <v>50</v>
      </c>
      <c r="BY32" s="13">
        <f t="shared" si="23"/>
        <v>0</v>
      </c>
      <c r="BZ32">
        <v>0.3</v>
      </c>
      <c r="CA32" s="3">
        <v>0.4</v>
      </c>
      <c r="CB32" s="14">
        <f t="shared" si="24"/>
        <v>0.25000000000000006</v>
      </c>
      <c r="CC32" s="10">
        <v>28.45</v>
      </c>
      <c r="CD32" s="10">
        <v>28.5</v>
      </c>
      <c r="CE32" s="14">
        <f t="shared" si="25"/>
        <v>1.7543859649123057E-3</v>
      </c>
    </row>
    <row r="33" spans="1:83" x14ac:dyDescent="0.35">
      <c r="A33" s="29">
        <v>46104.272465277776</v>
      </c>
      <c r="B33" s="3" t="s">
        <v>25</v>
      </c>
      <c r="C33" s="3">
        <v>60</v>
      </c>
      <c r="D33" s="3">
        <v>28</v>
      </c>
      <c r="E33" s="3">
        <v>246</v>
      </c>
      <c r="F33" s="21">
        <v>403.21</v>
      </c>
      <c r="G33" s="3">
        <v>404.46</v>
      </c>
      <c r="H33" s="14">
        <f t="shared" si="0"/>
        <v>3.0905404737180441E-3</v>
      </c>
      <c r="I33" s="22">
        <v>404.42</v>
      </c>
      <c r="J33" s="3">
        <v>404.31</v>
      </c>
      <c r="K33" s="14">
        <f t="shared" si="1"/>
        <v>2.720684623185517E-4</v>
      </c>
      <c r="L33" s="22">
        <v>405.11</v>
      </c>
      <c r="M33" s="3">
        <v>405.15</v>
      </c>
      <c r="N33" s="14">
        <f t="shared" si="2"/>
        <v>9.8728865852063734E-5</v>
      </c>
      <c r="O33" s="22">
        <v>232.8</v>
      </c>
      <c r="P33" s="3">
        <v>232.63</v>
      </c>
      <c r="Q33" s="14">
        <f t="shared" si="3"/>
        <v>7.3077419077511891E-4</v>
      </c>
      <c r="R33" s="22">
        <v>233.5</v>
      </c>
      <c r="S33" s="3">
        <v>232.94</v>
      </c>
      <c r="T33" s="14">
        <f t="shared" si="4"/>
        <v>2.4040525457199378E-3</v>
      </c>
      <c r="U33" s="22">
        <v>233.9</v>
      </c>
      <c r="V33" s="10">
        <v>232.76</v>
      </c>
      <c r="W33" s="14">
        <f t="shared" si="5"/>
        <v>4.8977487540815207E-3</v>
      </c>
      <c r="X33" s="23">
        <v>2.5979999999999999</v>
      </c>
      <c r="Y33" s="11">
        <v>2.6</v>
      </c>
      <c r="Z33" s="14">
        <f t="shared" si="6"/>
        <v>7.6923076923085532E-4</v>
      </c>
      <c r="AA33" s="23">
        <v>2.661</v>
      </c>
      <c r="AB33" s="11">
        <v>2.7</v>
      </c>
      <c r="AC33" s="14">
        <f t="shared" si="7"/>
        <v>1.4444444444444498E-2</v>
      </c>
      <c r="AD33" s="23">
        <v>2.7389999999999999</v>
      </c>
      <c r="AE33" s="11">
        <v>2.7</v>
      </c>
      <c r="AF33" s="14">
        <f t="shared" si="8"/>
        <v>1.4444444444444333E-2</v>
      </c>
      <c r="AG33" s="24">
        <v>223</v>
      </c>
      <c r="AH33" s="6">
        <v>221</v>
      </c>
      <c r="AI33" s="15">
        <f t="shared" si="9"/>
        <v>9.0497737556561094E-3</v>
      </c>
      <c r="AJ33" s="22">
        <v>258</v>
      </c>
      <c r="AK33" s="6">
        <v>256</v>
      </c>
      <c r="AL33" s="14">
        <f t="shared" si="10"/>
        <v>7.8125E-3</v>
      </c>
      <c r="AM33" s="24">
        <v>241</v>
      </c>
      <c r="AN33" s="6">
        <v>239</v>
      </c>
      <c r="AO33" s="14">
        <f t="shared" si="11"/>
        <v>8.368200836820083E-3</v>
      </c>
      <c r="AP33" s="24">
        <v>605</v>
      </c>
      <c r="AQ33" s="6">
        <v>603</v>
      </c>
      <c r="AR33" s="14">
        <f t="shared" si="12"/>
        <v>3.3167495854063019E-3</v>
      </c>
      <c r="AS33" s="24">
        <v>621</v>
      </c>
      <c r="AT33" s="3">
        <v>619</v>
      </c>
      <c r="AU33" s="14">
        <f t="shared" si="13"/>
        <v>3.2310177705977385E-3</v>
      </c>
      <c r="AV33" s="24">
        <v>641</v>
      </c>
      <c r="AW33" s="6">
        <v>639</v>
      </c>
      <c r="AX33" s="14">
        <f t="shared" si="14"/>
        <v>3.1298904538341159E-3</v>
      </c>
      <c r="AY33" s="26">
        <v>562</v>
      </c>
      <c r="AZ33" s="6">
        <v>560</v>
      </c>
      <c r="BA33" s="14">
        <f t="shared" si="15"/>
        <v>3.5714285714285713E-3</v>
      </c>
      <c r="BB33" s="27">
        <v>565</v>
      </c>
      <c r="BC33" s="6">
        <v>563</v>
      </c>
      <c r="BD33" s="14">
        <f t="shared" si="16"/>
        <v>3.552397868561279E-3</v>
      </c>
      <c r="BE33" s="24">
        <v>593</v>
      </c>
      <c r="BF33" s="6">
        <v>591</v>
      </c>
      <c r="BG33" s="14">
        <f t="shared" si="17"/>
        <v>3.3840947546531302E-3</v>
      </c>
      <c r="BH33" s="21">
        <v>0.37</v>
      </c>
      <c r="BI33" s="28">
        <v>0.37</v>
      </c>
      <c r="BJ33" s="14">
        <f t="shared" si="18"/>
        <v>0</v>
      </c>
      <c r="BK33" s="21">
        <v>0.42</v>
      </c>
      <c r="BL33" s="28">
        <v>0.42</v>
      </c>
      <c r="BM33" s="14">
        <f t="shared" si="19"/>
        <v>0</v>
      </c>
      <c r="BN33" s="21">
        <v>0.38</v>
      </c>
      <c r="BO33" s="28">
        <v>0.38</v>
      </c>
      <c r="BP33" s="14">
        <f t="shared" si="20"/>
        <v>0</v>
      </c>
      <c r="BQ33" s="3">
        <v>50</v>
      </c>
      <c r="BR33" s="3">
        <v>50</v>
      </c>
      <c r="BS33" s="13">
        <f t="shared" si="21"/>
        <v>0</v>
      </c>
      <c r="BT33" s="3">
        <v>50</v>
      </c>
      <c r="BU33" s="3">
        <v>50</v>
      </c>
      <c r="BV33" s="13">
        <f t="shared" si="22"/>
        <v>0</v>
      </c>
      <c r="BW33" s="3">
        <v>50</v>
      </c>
      <c r="BX33" s="3">
        <v>50</v>
      </c>
      <c r="BY33" s="13">
        <f t="shared" si="23"/>
        <v>0</v>
      </c>
      <c r="BZ33">
        <v>0.3</v>
      </c>
      <c r="CA33" s="3">
        <v>0.4</v>
      </c>
      <c r="CB33" s="14">
        <f t="shared" si="24"/>
        <v>0.25000000000000006</v>
      </c>
      <c r="CC33" s="10">
        <v>28.43</v>
      </c>
      <c r="CD33" s="10">
        <v>28.5</v>
      </c>
      <c r="CE33" s="14">
        <f t="shared" si="25"/>
        <v>2.456140350877203E-3</v>
      </c>
    </row>
    <row r="34" spans="1:83" x14ac:dyDescent="0.35">
      <c r="A34" s="29">
        <v>46104.272465277776</v>
      </c>
      <c r="B34" s="3" t="s">
        <v>25</v>
      </c>
      <c r="C34" s="3">
        <v>60</v>
      </c>
      <c r="D34" s="3">
        <v>29</v>
      </c>
      <c r="E34" s="3">
        <v>248</v>
      </c>
      <c r="F34" s="21">
        <v>403.21</v>
      </c>
      <c r="G34" s="3">
        <v>404.46</v>
      </c>
      <c r="H34" s="14">
        <f t="shared" si="0"/>
        <v>3.0905404737180441E-3</v>
      </c>
      <c r="I34" s="22">
        <v>404.6</v>
      </c>
      <c r="J34" s="3">
        <v>404.31</v>
      </c>
      <c r="K34" s="14">
        <f t="shared" si="1"/>
        <v>7.1727140065796157E-4</v>
      </c>
      <c r="L34" s="22">
        <v>405.11</v>
      </c>
      <c r="M34" s="3">
        <v>405.15</v>
      </c>
      <c r="N34" s="14">
        <f t="shared" si="2"/>
        <v>9.8728865852063734E-5</v>
      </c>
      <c r="O34" s="22">
        <v>232.8</v>
      </c>
      <c r="P34" s="3">
        <v>232.63</v>
      </c>
      <c r="Q34" s="14">
        <f t="shared" si="3"/>
        <v>7.3077419077511891E-4</v>
      </c>
      <c r="R34" s="22">
        <v>233.6</v>
      </c>
      <c r="S34" s="3">
        <v>232.94</v>
      </c>
      <c r="T34" s="14">
        <f t="shared" si="4"/>
        <v>2.8333476431699005E-3</v>
      </c>
      <c r="U34" s="22">
        <v>233.9</v>
      </c>
      <c r="V34" s="10">
        <v>232.78</v>
      </c>
      <c r="W34" s="14">
        <f t="shared" si="5"/>
        <v>4.8114099149411654E-3</v>
      </c>
      <c r="X34" s="23">
        <v>2.5979999999999999</v>
      </c>
      <c r="Y34" s="11">
        <v>2.6</v>
      </c>
      <c r="Z34" s="14">
        <f t="shared" si="6"/>
        <v>7.6923076923085532E-4</v>
      </c>
      <c r="AA34" s="23">
        <v>2.6619999999999999</v>
      </c>
      <c r="AB34" s="11">
        <v>2.7</v>
      </c>
      <c r="AC34" s="14">
        <f t="shared" si="7"/>
        <v>1.4074074074074168E-2</v>
      </c>
      <c r="AD34" s="23">
        <v>2.7370000000000001</v>
      </c>
      <c r="AE34" s="11">
        <v>2.7</v>
      </c>
      <c r="AF34" s="14">
        <f t="shared" si="8"/>
        <v>1.3703703703703675E-2</v>
      </c>
      <c r="AG34" s="24">
        <v>224</v>
      </c>
      <c r="AH34" s="6">
        <v>222</v>
      </c>
      <c r="AI34" s="15">
        <f t="shared" si="9"/>
        <v>9.0090090090090089E-3</v>
      </c>
      <c r="AJ34" s="22">
        <v>259</v>
      </c>
      <c r="AK34" s="6">
        <v>257</v>
      </c>
      <c r="AL34" s="14">
        <f t="shared" si="10"/>
        <v>7.7821011673151752E-3</v>
      </c>
      <c r="AM34" s="24">
        <v>242</v>
      </c>
      <c r="AN34" s="6">
        <v>240</v>
      </c>
      <c r="AO34" s="14">
        <f t="shared" si="11"/>
        <v>8.3333333333333332E-3</v>
      </c>
      <c r="AP34" s="24">
        <v>605</v>
      </c>
      <c r="AQ34" s="6">
        <v>603</v>
      </c>
      <c r="AR34" s="14">
        <f t="shared" si="12"/>
        <v>3.3167495854063019E-3</v>
      </c>
      <c r="AS34" s="24">
        <v>622</v>
      </c>
      <c r="AT34" s="3">
        <v>620</v>
      </c>
      <c r="AU34" s="14">
        <f t="shared" si="13"/>
        <v>3.2258064516129032E-3</v>
      </c>
      <c r="AV34" s="24">
        <v>640</v>
      </c>
      <c r="AW34" s="6">
        <v>638</v>
      </c>
      <c r="AX34" s="14">
        <f t="shared" si="14"/>
        <v>3.134796238244514E-3</v>
      </c>
      <c r="AY34" s="26">
        <v>562</v>
      </c>
      <c r="AZ34" s="6">
        <v>560</v>
      </c>
      <c r="BA34" s="14">
        <f t="shared" si="15"/>
        <v>3.5714285714285713E-3</v>
      </c>
      <c r="BB34" s="27">
        <v>565</v>
      </c>
      <c r="BC34" s="6">
        <v>563</v>
      </c>
      <c r="BD34" s="14">
        <f t="shared" si="16"/>
        <v>3.552397868561279E-3</v>
      </c>
      <c r="BE34" s="24">
        <v>593</v>
      </c>
      <c r="BF34" s="6">
        <v>591</v>
      </c>
      <c r="BG34" s="14">
        <f t="shared" si="17"/>
        <v>3.3840947546531302E-3</v>
      </c>
      <c r="BH34" s="21">
        <v>0.37</v>
      </c>
      <c r="BI34" s="28">
        <v>0.37</v>
      </c>
      <c r="BJ34" s="14">
        <f t="shared" si="18"/>
        <v>0</v>
      </c>
      <c r="BK34" s="21">
        <v>0.42</v>
      </c>
      <c r="BL34" s="28">
        <v>0.42</v>
      </c>
      <c r="BM34" s="14">
        <f t="shared" si="19"/>
        <v>0</v>
      </c>
      <c r="BN34" s="21">
        <v>0.38</v>
      </c>
      <c r="BO34" s="28">
        <v>0.38</v>
      </c>
      <c r="BP34" s="14">
        <f t="shared" si="20"/>
        <v>0</v>
      </c>
      <c r="BQ34" s="3">
        <v>50</v>
      </c>
      <c r="BR34" s="3">
        <v>50</v>
      </c>
      <c r="BS34" s="13">
        <f t="shared" si="21"/>
        <v>0</v>
      </c>
      <c r="BT34" s="3">
        <v>50</v>
      </c>
      <c r="BU34" s="3">
        <v>50</v>
      </c>
      <c r="BV34" s="13">
        <f t="shared" si="22"/>
        <v>0</v>
      </c>
      <c r="BW34" s="3">
        <v>50</v>
      </c>
      <c r="BX34" s="3">
        <v>50</v>
      </c>
      <c r="BY34" s="13">
        <f t="shared" si="23"/>
        <v>0</v>
      </c>
      <c r="BZ34">
        <v>0.4</v>
      </c>
      <c r="CA34" s="3">
        <v>0.4</v>
      </c>
      <c r="CB34" s="14">
        <f t="shared" si="24"/>
        <v>0</v>
      </c>
      <c r="CC34" s="10">
        <v>28.33</v>
      </c>
      <c r="CD34" s="10">
        <v>28.5</v>
      </c>
      <c r="CE34" s="14">
        <f t="shared" si="25"/>
        <v>5.9649122807018144E-3</v>
      </c>
    </row>
    <row r="35" spans="1:83" x14ac:dyDescent="0.35">
      <c r="A35" s="29">
        <v>46104.272465277776</v>
      </c>
      <c r="B35" s="3" t="s">
        <v>25</v>
      </c>
      <c r="C35" s="3">
        <v>60</v>
      </c>
      <c r="D35" s="3">
        <v>30</v>
      </c>
      <c r="E35" s="3">
        <v>250</v>
      </c>
      <c r="F35" s="21">
        <v>403.21</v>
      </c>
      <c r="G35" s="3">
        <v>404.46</v>
      </c>
      <c r="H35" s="14">
        <f t="shared" si="0"/>
        <v>3.0905404737180441E-3</v>
      </c>
      <c r="I35" s="22">
        <v>404.42</v>
      </c>
      <c r="J35" s="3">
        <v>404.31</v>
      </c>
      <c r="K35" s="14">
        <f t="shared" si="1"/>
        <v>2.720684623185517E-4</v>
      </c>
      <c r="L35" s="22">
        <v>405.11</v>
      </c>
      <c r="M35" s="3">
        <v>405.15</v>
      </c>
      <c r="N35" s="14">
        <f t="shared" si="2"/>
        <v>9.8728865852063734E-5</v>
      </c>
      <c r="O35" s="22">
        <v>232.8</v>
      </c>
      <c r="P35" s="3">
        <v>232.63</v>
      </c>
      <c r="Q35" s="14">
        <f t="shared" si="3"/>
        <v>7.3077419077511891E-4</v>
      </c>
      <c r="R35" s="22">
        <v>233.5</v>
      </c>
      <c r="S35" s="3">
        <v>232.94</v>
      </c>
      <c r="T35" s="14">
        <f t="shared" si="4"/>
        <v>2.4040525457199378E-3</v>
      </c>
      <c r="U35" s="22">
        <v>233.9</v>
      </c>
      <c r="V35" s="10">
        <v>232.78</v>
      </c>
      <c r="W35" s="14">
        <f t="shared" si="5"/>
        <v>4.8114099149411654E-3</v>
      </c>
      <c r="X35" s="23">
        <v>2.601</v>
      </c>
      <c r="Y35" s="11">
        <v>2.6</v>
      </c>
      <c r="Z35" s="14">
        <f t="shared" si="6"/>
        <v>3.8461538461534222E-4</v>
      </c>
      <c r="AA35" s="23">
        <v>2.665</v>
      </c>
      <c r="AB35" s="11">
        <v>2.7</v>
      </c>
      <c r="AC35" s="14">
        <f t="shared" si="7"/>
        <v>1.2962962962963015E-2</v>
      </c>
      <c r="AD35" s="23">
        <v>2.7389999999999999</v>
      </c>
      <c r="AE35" s="11">
        <v>2.7</v>
      </c>
      <c r="AF35" s="14">
        <f t="shared" si="8"/>
        <v>1.4444444444444333E-2</v>
      </c>
      <c r="AG35" s="24">
        <v>224</v>
      </c>
      <c r="AH35" s="6">
        <v>222</v>
      </c>
      <c r="AI35" s="15">
        <f t="shared" si="9"/>
        <v>9.0090090090090089E-3</v>
      </c>
      <c r="AJ35" s="22">
        <v>259</v>
      </c>
      <c r="AK35" s="6">
        <v>257</v>
      </c>
      <c r="AL35" s="14">
        <f t="shared" si="10"/>
        <v>7.7821011673151752E-3</v>
      </c>
      <c r="AM35" s="24">
        <v>243</v>
      </c>
      <c r="AN35" s="6">
        <v>241</v>
      </c>
      <c r="AO35" s="14">
        <f t="shared" si="11"/>
        <v>8.2987551867219917E-3</v>
      </c>
      <c r="AP35" s="24">
        <v>606</v>
      </c>
      <c r="AQ35" s="6">
        <v>604</v>
      </c>
      <c r="AR35" s="14">
        <f t="shared" si="12"/>
        <v>3.3112582781456954E-3</v>
      </c>
      <c r="AS35" s="24">
        <v>622</v>
      </c>
      <c r="AT35" s="3">
        <v>620</v>
      </c>
      <c r="AU35" s="14">
        <f t="shared" si="13"/>
        <v>3.2258064516129032E-3</v>
      </c>
      <c r="AV35" s="24">
        <v>641</v>
      </c>
      <c r="AW35" s="6">
        <v>639</v>
      </c>
      <c r="AX35" s="14">
        <f t="shared" si="14"/>
        <v>3.1298904538341159E-3</v>
      </c>
      <c r="AY35" s="26">
        <v>562</v>
      </c>
      <c r="AZ35" s="6">
        <v>560</v>
      </c>
      <c r="BA35" s="14">
        <f t="shared" si="15"/>
        <v>3.5714285714285713E-3</v>
      </c>
      <c r="BB35" s="27">
        <v>566</v>
      </c>
      <c r="BC35" s="6">
        <v>564</v>
      </c>
      <c r="BD35" s="14">
        <f t="shared" si="16"/>
        <v>3.5460992907801418E-3</v>
      </c>
      <c r="BE35" s="24">
        <v>593</v>
      </c>
      <c r="BF35" s="6">
        <v>591</v>
      </c>
      <c r="BG35" s="14">
        <f t="shared" si="17"/>
        <v>3.3840947546531302E-3</v>
      </c>
      <c r="BH35" s="21">
        <v>0.37</v>
      </c>
      <c r="BI35" s="28">
        <v>0.37</v>
      </c>
      <c r="BJ35" s="14">
        <f t="shared" si="18"/>
        <v>0</v>
      </c>
      <c r="BK35" s="21">
        <v>0.42</v>
      </c>
      <c r="BL35" s="28">
        <v>0.42</v>
      </c>
      <c r="BM35" s="14">
        <f t="shared" si="19"/>
        <v>0</v>
      </c>
      <c r="BN35" s="21">
        <v>0.38</v>
      </c>
      <c r="BO35" s="28">
        <v>0.38</v>
      </c>
      <c r="BP35" s="14">
        <f t="shared" si="20"/>
        <v>0</v>
      </c>
      <c r="BQ35" s="3">
        <v>50</v>
      </c>
      <c r="BR35" s="3">
        <v>50</v>
      </c>
      <c r="BS35" s="13">
        <f t="shared" si="21"/>
        <v>0</v>
      </c>
      <c r="BT35" s="3">
        <v>50</v>
      </c>
      <c r="BU35" s="3">
        <v>50</v>
      </c>
      <c r="BV35" s="13">
        <f t="shared" si="22"/>
        <v>0</v>
      </c>
      <c r="BW35" s="3">
        <v>50</v>
      </c>
      <c r="BX35" s="3">
        <v>50</v>
      </c>
      <c r="BY35" s="13">
        <f t="shared" si="23"/>
        <v>0</v>
      </c>
      <c r="BZ35">
        <v>0.4</v>
      </c>
      <c r="CA35" s="3">
        <v>0.4</v>
      </c>
      <c r="CB35" s="14">
        <f t="shared" si="24"/>
        <v>0</v>
      </c>
      <c r="CC35" s="10">
        <v>28.25</v>
      </c>
      <c r="CD35" s="10">
        <v>28.5</v>
      </c>
      <c r="CE35" s="14">
        <f t="shared" si="25"/>
        <v>8.771929824561403E-3</v>
      </c>
    </row>
    <row r="36" spans="1:83" x14ac:dyDescent="0.35">
      <c r="A36" s="29">
        <v>46104.272465277776</v>
      </c>
      <c r="B36" s="3" t="s">
        <v>25</v>
      </c>
      <c r="C36" s="3">
        <v>60</v>
      </c>
      <c r="D36" s="3">
        <v>31</v>
      </c>
      <c r="E36" s="3">
        <v>253</v>
      </c>
      <c r="F36" s="21">
        <v>403.21</v>
      </c>
      <c r="G36" s="3">
        <v>404.46</v>
      </c>
      <c r="H36" s="14">
        <f t="shared" si="0"/>
        <v>3.0905404737180441E-3</v>
      </c>
      <c r="I36" s="22">
        <v>404.6</v>
      </c>
      <c r="J36" s="3">
        <v>404.31</v>
      </c>
      <c r="K36" s="14">
        <f t="shared" si="1"/>
        <v>7.1727140065796157E-4</v>
      </c>
      <c r="L36" s="22">
        <v>404.94</v>
      </c>
      <c r="M36" s="3">
        <v>405.15</v>
      </c>
      <c r="N36" s="14">
        <f t="shared" si="2"/>
        <v>5.1832654572375552E-4</v>
      </c>
      <c r="O36" s="22">
        <v>232.8</v>
      </c>
      <c r="P36" s="3">
        <v>232.63</v>
      </c>
      <c r="Q36" s="14">
        <f t="shared" si="3"/>
        <v>7.3077419077511891E-4</v>
      </c>
      <c r="R36" s="22">
        <v>233.6</v>
      </c>
      <c r="S36" s="3">
        <v>232.94</v>
      </c>
      <c r="T36" s="14">
        <f t="shared" si="4"/>
        <v>2.8333476431699005E-3</v>
      </c>
      <c r="U36" s="22">
        <v>233.8</v>
      </c>
      <c r="V36" s="10">
        <v>232.78</v>
      </c>
      <c r="W36" s="14">
        <f t="shared" si="5"/>
        <v>4.381819743964302E-3</v>
      </c>
      <c r="X36" s="23">
        <v>2.5990000000000002</v>
      </c>
      <c r="Y36" s="11">
        <v>2.6</v>
      </c>
      <c r="Z36" s="14">
        <f t="shared" si="6"/>
        <v>3.8461538461534222E-4</v>
      </c>
      <c r="AA36" s="23">
        <v>2.6629999999999998</v>
      </c>
      <c r="AB36" s="11">
        <v>2.7</v>
      </c>
      <c r="AC36" s="14">
        <f t="shared" si="7"/>
        <v>1.3703703703703838E-2</v>
      </c>
      <c r="AD36" s="23">
        <v>2.7360000000000002</v>
      </c>
      <c r="AE36" s="11">
        <v>2.7</v>
      </c>
      <c r="AF36" s="14">
        <f t="shared" si="8"/>
        <v>1.3333333333333345E-2</v>
      </c>
      <c r="AG36" s="24">
        <v>224</v>
      </c>
      <c r="AH36" s="6">
        <v>222</v>
      </c>
      <c r="AI36" s="15">
        <f t="shared" si="9"/>
        <v>9.0090090090090089E-3</v>
      </c>
      <c r="AJ36" s="22">
        <v>259</v>
      </c>
      <c r="AK36" s="6">
        <v>257</v>
      </c>
      <c r="AL36" s="14">
        <f t="shared" si="10"/>
        <v>7.7821011673151752E-3</v>
      </c>
      <c r="AM36" s="24">
        <v>242</v>
      </c>
      <c r="AN36" s="6">
        <v>240</v>
      </c>
      <c r="AO36" s="14">
        <f t="shared" si="11"/>
        <v>8.3333333333333332E-3</v>
      </c>
      <c r="AP36" s="24">
        <v>605</v>
      </c>
      <c r="AQ36" s="6">
        <v>603</v>
      </c>
      <c r="AR36" s="14">
        <f t="shared" si="12"/>
        <v>3.3167495854063019E-3</v>
      </c>
      <c r="AS36" s="24">
        <v>622</v>
      </c>
      <c r="AT36" s="3">
        <v>620</v>
      </c>
      <c r="AU36" s="14">
        <f t="shared" si="13"/>
        <v>3.2258064516129032E-3</v>
      </c>
      <c r="AV36" s="24">
        <v>640</v>
      </c>
      <c r="AW36" s="6">
        <v>638</v>
      </c>
      <c r="AX36" s="14">
        <f t="shared" si="14"/>
        <v>3.134796238244514E-3</v>
      </c>
      <c r="AY36" s="26">
        <v>562</v>
      </c>
      <c r="AZ36" s="6">
        <v>560</v>
      </c>
      <c r="BA36" s="14">
        <f t="shared" si="15"/>
        <v>3.5714285714285713E-3</v>
      </c>
      <c r="BB36" s="27">
        <v>566</v>
      </c>
      <c r="BC36" s="6">
        <v>564</v>
      </c>
      <c r="BD36" s="14">
        <f t="shared" si="16"/>
        <v>3.5460992907801418E-3</v>
      </c>
      <c r="BE36" s="24">
        <v>592</v>
      </c>
      <c r="BF36" s="6">
        <v>590</v>
      </c>
      <c r="BG36" s="14">
        <f t="shared" si="17"/>
        <v>3.3898305084745762E-3</v>
      </c>
      <c r="BH36" s="21">
        <v>0.37</v>
      </c>
      <c r="BI36" s="28">
        <v>0.37</v>
      </c>
      <c r="BJ36" s="14">
        <f t="shared" si="18"/>
        <v>0</v>
      </c>
      <c r="BK36" s="21">
        <v>0.42</v>
      </c>
      <c r="BL36" s="28">
        <v>0.42</v>
      </c>
      <c r="BM36" s="14">
        <f t="shared" si="19"/>
        <v>0</v>
      </c>
      <c r="BN36" s="21">
        <v>0.38</v>
      </c>
      <c r="BO36" s="28">
        <v>0.38</v>
      </c>
      <c r="BP36" s="14">
        <f t="shared" si="20"/>
        <v>0</v>
      </c>
      <c r="BQ36" s="3">
        <v>50</v>
      </c>
      <c r="BR36" s="3">
        <v>50</v>
      </c>
      <c r="BS36" s="13">
        <f t="shared" si="21"/>
        <v>0</v>
      </c>
      <c r="BT36" s="3">
        <v>50</v>
      </c>
      <c r="BU36" s="3">
        <v>50</v>
      </c>
      <c r="BV36" s="13">
        <f t="shared" si="22"/>
        <v>0</v>
      </c>
      <c r="BW36" s="3">
        <v>50</v>
      </c>
      <c r="BX36" s="3">
        <v>50</v>
      </c>
      <c r="BY36" s="13">
        <f t="shared" si="23"/>
        <v>0</v>
      </c>
      <c r="BZ36">
        <v>0.3</v>
      </c>
      <c r="CA36" s="3">
        <v>0.4</v>
      </c>
      <c r="CB36" s="14">
        <f t="shared" si="24"/>
        <v>0.25000000000000006</v>
      </c>
      <c r="CC36" s="10">
        <v>28.31</v>
      </c>
      <c r="CD36" s="10">
        <v>28.5</v>
      </c>
      <c r="CE36" s="14">
        <f t="shared" si="25"/>
        <v>6.6666666666667113E-3</v>
      </c>
    </row>
    <row r="37" spans="1:83" x14ac:dyDescent="0.35">
      <c r="A37" s="29">
        <v>46104.272465277776</v>
      </c>
      <c r="B37" s="3" t="s">
        <v>25</v>
      </c>
      <c r="C37" s="3">
        <v>60</v>
      </c>
      <c r="D37" s="3">
        <v>32</v>
      </c>
      <c r="E37" s="3">
        <v>255</v>
      </c>
      <c r="F37" s="21">
        <v>403.38</v>
      </c>
      <c r="G37" s="3">
        <v>404.46</v>
      </c>
      <c r="H37" s="14">
        <f t="shared" si="0"/>
        <v>2.6702269692923507E-3</v>
      </c>
      <c r="I37" s="22">
        <v>404.6</v>
      </c>
      <c r="J37" s="3">
        <v>404.31</v>
      </c>
      <c r="K37" s="14">
        <f t="shared" si="1"/>
        <v>7.1727140065796157E-4</v>
      </c>
      <c r="L37" s="22">
        <v>405.11</v>
      </c>
      <c r="M37" s="3">
        <v>405.15</v>
      </c>
      <c r="N37" s="14">
        <f t="shared" si="2"/>
        <v>9.8728865852063734E-5</v>
      </c>
      <c r="O37" s="22">
        <v>232.9</v>
      </c>
      <c r="P37" s="3">
        <v>232.63</v>
      </c>
      <c r="Q37" s="14">
        <f t="shared" si="3"/>
        <v>1.1606413618192419E-3</v>
      </c>
      <c r="R37" s="22">
        <v>233.6</v>
      </c>
      <c r="S37" s="3">
        <v>233.07</v>
      </c>
      <c r="T37" s="14">
        <f t="shared" si="4"/>
        <v>2.2739949371433526E-3</v>
      </c>
      <c r="U37" s="22">
        <v>233.9</v>
      </c>
      <c r="V37" s="10">
        <v>232.78</v>
      </c>
      <c r="W37" s="14">
        <f t="shared" si="5"/>
        <v>4.8114099149411654E-3</v>
      </c>
      <c r="X37" s="23">
        <v>2.601</v>
      </c>
      <c r="Y37" s="11">
        <v>2.6</v>
      </c>
      <c r="Z37" s="14">
        <f t="shared" si="6"/>
        <v>3.8461538461534222E-4</v>
      </c>
      <c r="AA37" s="23">
        <v>2.665</v>
      </c>
      <c r="AB37" s="11">
        <v>2.7</v>
      </c>
      <c r="AC37" s="14">
        <f t="shared" si="7"/>
        <v>1.2962962962963015E-2</v>
      </c>
      <c r="AD37" s="23">
        <v>2.738</v>
      </c>
      <c r="AE37" s="11">
        <v>2.7</v>
      </c>
      <c r="AF37" s="14">
        <f t="shared" si="8"/>
        <v>1.4074074074074003E-2</v>
      </c>
      <c r="AG37" s="24">
        <v>225</v>
      </c>
      <c r="AH37" s="6">
        <v>223</v>
      </c>
      <c r="AI37" s="15">
        <f t="shared" si="9"/>
        <v>8.9686098654708519E-3</v>
      </c>
      <c r="AJ37" s="22">
        <v>259</v>
      </c>
      <c r="AK37" s="6">
        <v>257</v>
      </c>
      <c r="AL37" s="14">
        <f t="shared" si="10"/>
        <v>7.7821011673151752E-3</v>
      </c>
      <c r="AM37" s="24">
        <v>242</v>
      </c>
      <c r="AN37" s="6">
        <v>240</v>
      </c>
      <c r="AO37" s="14">
        <f t="shared" si="11"/>
        <v>8.3333333333333332E-3</v>
      </c>
      <c r="AP37" s="24">
        <v>606</v>
      </c>
      <c r="AQ37" s="6">
        <v>604</v>
      </c>
      <c r="AR37" s="14">
        <f t="shared" si="12"/>
        <v>3.3112582781456954E-3</v>
      </c>
      <c r="AS37" s="24">
        <v>623</v>
      </c>
      <c r="AT37" s="3">
        <v>621</v>
      </c>
      <c r="AU37" s="14">
        <f t="shared" si="13"/>
        <v>3.2206119162640902E-3</v>
      </c>
      <c r="AV37" s="24">
        <v>640</v>
      </c>
      <c r="AW37" s="6">
        <v>638</v>
      </c>
      <c r="AX37" s="14">
        <f t="shared" si="14"/>
        <v>3.134796238244514E-3</v>
      </c>
      <c r="AY37" s="26">
        <v>563</v>
      </c>
      <c r="AZ37" s="6">
        <v>561</v>
      </c>
      <c r="BA37" s="14">
        <f t="shared" si="15"/>
        <v>3.5650623885918001E-3</v>
      </c>
      <c r="BB37" s="27">
        <v>566</v>
      </c>
      <c r="BC37" s="6">
        <v>564</v>
      </c>
      <c r="BD37" s="14">
        <f t="shared" si="16"/>
        <v>3.5460992907801418E-3</v>
      </c>
      <c r="BE37" s="24">
        <v>593</v>
      </c>
      <c r="BF37" s="6">
        <v>591</v>
      </c>
      <c r="BG37" s="14">
        <f t="shared" si="17"/>
        <v>3.3840947546531302E-3</v>
      </c>
      <c r="BH37" s="21">
        <v>0.37</v>
      </c>
      <c r="BI37" s="28">
        <v>0.37</v>
      </c>
      <c r="BJ37" s="14">
        <f t="shared" si="18"/>
        <v>0</v>
      </c>
      <c r="BK37" s="21">
        <v>0.42</v>
      </c>
      <c r="BL37" s="28">
        <v>0.42</v>
      </c>
      <c r="BM37" s="14">
        <f t="shared" si="19"/>
        <v>0</v>
      </c>
      <c r="BN37" s="21">
        <v>0.38</v>
      </c>
      <c r="BO37" s="28">
        <v>0.38</v>
      </c>
      <c r="BP37" s="14">
        <f t="shared" si="20"/>
        <v>0</v>
      </c>
      <c r="BQ37" s="3">
        <v>50</v>
      </c>
      <c r="BR37" s="3">
        <v>50</v>
      </c>
      <c r="BS37" s="13">
        <f t="shared" si="21"/>
        <v>0</v>
      </c>
      <c r="BT37" s="3">
        <v>50</v>
      </c>
      <c r="BU37" s="3">
        <v>50</v>
      </c>
      <c r="BV37" s="13">
        <f t="shared" si="22"/>
        <v>0</v>
      </c>
      <c r="BW37" s="3">
        <v>50</v>
      </c>
      <c r="BX37" s="3">
        <v>50</v>
      </c>
      <c r="BY37" s="13">
        <f t="shared" si="23"/>
        <v>0</v>
      </c>
      <c r="BZ37">
        <v>0.3</v>
      </c>
      <c r="CA37" s="3">
        <v>0.4</v>
      </c>
      <c r="CB37" s="14">
        <f t="shared" si="24"/>
        <v>0.25000000000000006</v>
      </c>
      <c r="CC37" s="10">
        <v>28.33</v>
      </c>
      <c r="CD37" s="10">
        <v>28.5</v>
      </c>
      <c r="CE37" s="14">
        <f t="shared" si="25"/>
        <v>5.9649122807018144E-3</v>
      </c>
    </row>
    <row r="38" spans="1:83" x14ac:dyDescent="0.35">
      <c r="A38" s="29">
        <v>46104.272465277776</v>
      </c>
      <c r="B38" s="3" t="s">
        <v>25</v>
      </c>
      <c r="C38" s="3">
        <v>60</v>
      </c>
      <c r="D38" s="3">
        <v>33</v>
      </c>
      <c r="E38" s="3">
        <v>257</v>
      </c>
      <c r="F38" s="21">
        <v>403.38</v>
      </c>
      <c r="G38" s="3">
        <v>404.46</v>
      </c>
      <c r="H38" s="14">
        <f t="shared" si="0"/>
        <v>2.6702269692923507E-3</v>
      </c>
      <c r="I38" s="22">
        <v>404.77</v>
      </c>
      <c r="J38" s="3">
        <v>402.62</v>
      </c>
      <c r="K38" s="14">
        <f t="shared" si="1"/>
        <v>5.34002285033028E-3</v>
      </c>
      <c r="L38" s="22">
        <v>405.29</v>
      </c>
      <c r="M38" s="3">
        <v>405.15</v>
      </c>
      <c r="N38" s="14">
        <f t="shared" si="2"/>
        <v>3.4555103048264396E-4</v>
      </c>
      <c r="O38" s="22">
        <v>232.9</v>
      </c>
      <c r="P38" s="3">
        <v>232.63</v>
      </c>
      <c r="Q38" s="14">
        <f t="shared" si="3"/>
        <v>1.1606413618192419E-3</v>
      </c>
      <c r="R38" s="22">
        <v>233.7</v>
      </c>
      <c r="S38" s="3">
        <v>233.07</v>
      </c>
      <c r="T38" s="14">
        <f t="shared" si="4"/>
        <v>2.703050585660941E-3</v>
      </c>
      <c r="U38" s="22">
        <v>234</v>
      </c>
      <c r="V38" s="10">
        <v>232.78</v>
      </c>
      <c r="W38" s="14">
        <f t="shared" si="5"/>
        <v>5.2410000859180296E-3</v>
      </c>
      <c r="X38" s="23">
        <v>2.6059999999999999</v>
      </c>
      <c r="Y38" s="11">
        <v>2.6</v>
      </c>
      <c r="Z38" s="14">
        <f t="shared" si="6"/>
        <v>2.3076923076922242E-3</v>
      </c>
      <c r="AA38" s="23">
        <v>2.67</v>
      </c>
      <c r="AB38" s="11">
        <v>2.7</v>
      </c>
      <c r="AC38" s="14">
        <f t="shared" si="7"/>
        <v>1.1111111111111202E-2</v>
      </c>
      <c r="AD38" s="23">
        <v>2.7450000000000001</v>
      </c>
      <c r="AE38" s="11">
        <v>2.7</v>
      </c>
      <c r="AF38" s="14">
        <f t="shared" si="8"/>
        <v>1.6666666666666639E-2</v>
      </c>
      <c r="AG38" s="24">
        <v>226</v>
      </c>
      <c r="AH38" s="6">
        <v>224</v>
      </c>
      <c r="AI38" s="15">
        <f t="shared" si="9"/>
        <v>8.9285714285714281E-3</v>
      </c>
      <c r="AJ38" s="24">
        <v>260</v>
      </c>
      <c r="AK38" s="6">
        <v>258</v>
      </c>
      <c r="AL38" s="14">
        <f t="shared" si="10"/>
        <v>7.7519379844961239E-3</v>
      </c>
      <c r="AM38" s="24">
        <v>243</v>
      </c>
      <c r="AN38" s="6">
        <v>241</v>
      </c>
      <c r="AO38" s="14">
        <f t="shared" si="11"/>
        <v>8.2987551867219917E-3</v>
      </c>
      <c r="AP38" s="24">
        <v>607</v>
      </c>
      <c r="AQ38" s="6">
        <v>605</v>
      </c>
      <c r="AR38" s="14">
        <f t="shared" si="12"/>
        <v>3.3057851239669421E-3</v>
      </c>
      <c r="AS38" s="24">
        <v>624</v>
      </c>
      <c r="AT38" s="3">
        <v>622</v>
      </c>
      <c r="AU38" s="14">
        <f t="shared" si="13"/>
        <v>3.2154340836012861E-3</v>
      </c>
      <c r="AV38" s="24">
        <v>642</v>
      </c>
      <c r="AW38" s="6">
        <v>640</v>
      </c>
      <c r="AX38" s="14">
        <f t="shared" si="14"/>
        <v>3.1250000000000002E-3</v>
      </c>
      <c r="AY38" s="26">
        <v>563</v>
      </c>
      <c r="AZ38" s="6">
        <v>561</v>
      </c>
      <c r="BA38" s="14">
        <f t="shared" si="15"/>
        <v>3.5650623885918001E-3</v>
      </c>
      <c r="BB38" s="27">
        <v>567</v>
      </c>
      <c r="BC38" s="6">
        <v>565</v>
      </c>
      <c r="BD38" s="14">
        <f t="shared" si="16"/>
        <v>3.5398230088495575E-3</v>
      </c>
      <c r="BE38" s="24">
        <v>594</v>
      </c>
      <c r="BF38" s="6">
        <v>592</v>
      </c>
      <c r="BG38" s="14">
        <f t="shared" si="17"/>
        <v>3.3783783783783786E-3</v>
      </c>
      <c r="BH38" s="21">
        <v>0.37</v>
      </c>
      <c r="BI38" s="28">
        <v>0.37</v>
      </c>
      <c r="BJ38" s="14">
        <f t="shared" si="18"/>
        <v>0</v>
      </c>
      <c r="BK38" s="21">
        <v>0.42</v>
      </c>
      <c r="BL38" s="28">
        <v>0.42</v>
      </c>
      <c r="BM38" s="14">
        <f t="shared" si="19"/>
        <v>0</v>
      </c>
      <c r="BN38" s="21">
        <v>0.38</v>
      </c>
      <c r="BO38" s="28">
        <v>0.38</v>
      </c>
      <c r="BP38" s="14">
        <f t="shared" si="20"/>
        <v>0</v>
      </c>
      <c r="BQ38" s="3">
        <v>50</v>
      </c>
      <c r="BR38" s="3">
        <v>50</v>
      </c>
      <c r="BS38" s="13">
        <f t="shared" si="21"/>
        <v>0</v>
      </c>
      <c r="BT38" s="3">
        <v>50</v>
      </c>
      <c r="BU38" s="3">
        <v>50</v>
      </c>
      <c r="BV38" s="13">
        <f t="shared" si="22"/>
        <v>0</v>
      </c>
      <c r="BW38" s="3">
        <v>50</v>
      </c>
      <c r="BX38" s="3">
        <v>50</v>
      </c>
      <c r="BY38" s="13">
        <f t="shared" si="23"/>
        <v>0</v>
      </c>
      <c r="BZ38">
        <v>0.3</v>
      </c>
      <c r="CA38" s="3">
        <v>0.4</v>
      </c>
      <c r="CB38" s="14">
        <f t="shared" si="24"/>
        <v>0.25000000000000006</v>
      </c>
      <c r="CC38" s="10">
        <v>28.33</v>
      </c>
      <c r="CD38" s="10">
        <v>28.5</v>
      </c>
      <c r="CE38" s="14">
        <f t="shared" si="25"/>
        <v>5.9649122807018144E-3</v>
      </c>
    </row>
    <row r="39" spans="1:83" x14ac:dyDescent="0.35">
      <c r="A39" s="29">
        <v>46104.272465277776</v>
      </c>
      <c r="B39" s="3" t="s">
        <v>25</v>
      </c>
      <c r="C39" s="3">
        <v>60</v>
      </c>
      <c r="D39" s="3">
        <v>34</v>
      </c>
      <c r="E39" s="3">
        <v>259</v>
      </c>
      <c r="F39" s="21">
        <v>403.56</v>
      </c>
      <c r="G39" s="3">
        <v>404.46</v>
      </c>
      <c r="H39" s="14">
        <f t="shared" si="0"/>
        <v>2.2251891410769355E-3</v>
      </c>
      <c r="I39" s="22">
        <v>404.77</v>
      </c>
      <c r="J39" s="3">
        <v>402.62</v>
      </c>
      <c r="K39" s="14">
        <f t="shared" si="1"/>
        <v>5.34002285033028E-3</v>
      </c>
      <c r="L39" s="22">
        <v>405.29</v>
      </c>
      <c r="M39" s="3">
        <v>404.96</v>
      </c>
      <c r="N39" s="14">
        <f t="shared" si="2"/>
        <v>8.1489529830116789E-4</v>
      </c>
      <c r="O39" s="22">
        <v>233</v>
      </c>
      <c r="P39" s="3">
        <v>232.63</v>
      </c>
      <c r="Q39" s="14">
        <f t="shared" si="3"/>
        <v>1.5905085328633648E-3</v>
      </c>
      <c r="R39" s="22">
        <v>233.7</v>
      </c>
      <c r="S39" s="3">
        <v>233.07</v>
      </c>
      <c r="T39" s="14">
        <f t="shared" si="4"/>
        <v>2.703050585660941E-3</v>
      </c>
      <c r="U39" s="22">
        <v>234</v>
      </c>
      <c r="V39" s="10">
        <v>232.78</v>
      </c>
      <c r="W39" s="14">
        <f t="shared" si="5"/>
        <v>5.2410000859180296E-3</v>
      </c>
      <c r="X39" s="23">
        <v>2.605</v>
      </c>
      <c r="Y39" s="11">
        <v>2.6</v>
      </c>
      <c r="Z39" s="14">
        <f t="shared" si="6"/>
        <v>1.923076923076882E-3</v>
      </c>
      <c r="AA39" s="23">
        <v>2.67</v>
      </c>
      <c r="AB39" s="11">
        <v>2.7</v>
      </c>
      <c r="AC39" s="14">
        <f t="shared" si="7"/>
        <v>1.1111111111111202E-2</v>
      </c>
      <c r="AD39" s="23">
        <v>2.7440000000000002</v>
      </c>
      <c r="AE39" s="11">
        <v>2.7</v>
      </c>
      <c r="AF39" s="14">
        <f t="shared" si="8"/>
        <v>1.6296296296296309E-2</v>
      </c>
      <c r="AG39" s="24">
        <v>226</v>
      </c>
      <c r="AH39" s="6">
        <v>224</v>
      </c>
      <c r="AI39" s="15">
        <f t="shared" si="9"/>
        <v>8.9285714285714281E-3</v>
      </c>
      <c r="AJ39" s="22">
        <v>261</v>
      </c>
      <c r="AK39" s="6">
        <v>259</v>
      </c>
      <c r="AL39" s="14">
        <f t="shared" si="10"/>
        <v>7.7220077220077222E-3</v>
      </c>
      <c r="AM39" s="24">
        <v>243</v>
      </c>
      <c r="AN39" s="6">
        <v>241</v>
      </c>
      <c r="AO39" s="14">
        <f t="shared" si="11"/>
        <v>8.2987551867219917E-3</v>
      </c>
      <c r="AP39" s="24">
        <v>607</v>
      </c>
      <c r="AQ39" s="6">
        <v>605</v>
      </c>
      <c r="AR39" s="14">
        <f t="shared" si="12"/>
        <v>3.3057851239669421E-3</v>
      </c>
      <c r="AS39" s="24">
        <v>624</v>
      </c>
      <c r="AT39" s="3">
        <v>622</v>
      </c>
      <c r="AU39" s="14">
        <f t="shared" si="13"/>
        <v>3.2154340836012861E-3</v>
      </c>
      <c r="AV39" s="24">
        <v>642</v>
      </c>
      <c r="AW39" s="6">
        <v>640</v>
      </c>
      <c r="AX39" s="14">
        <f t="shared" si="14"/>
        <v>3.1250000000000002E-3</v>
      </c>
      <c r="AY39" s="26">
        <v>563</v>
      </c>
      <c r="AZ39" s="6">
        <v>561</v>
      </c>
      <c r="BA39" s="14">
        <f t="shared" si="15"/>
        <v>3.5650623885918001E-3</v>
      </c>
      <c r="BB39" s="27">
        <v>567</v>
      </c>
      <c r="BC39" s="6">
        <v>565</v>
      </c>
      <c r="BD39" s="14">
        <f t="shared" si="16"/>
        <v>3.5398230088495575E-3</v>
      </c>
      <c r="BE39" s="24">
        <v>594</v>
      </c>
      <c r="BF39" s="6">
        <v>592</v>
      </c>
      <c r="BG39" s="14">
        <f t="shared" si="17"/>
        <v>3.3783783783783786E-3</v>
      </c>
      <c r="BH39" s="21">
        <v>0.37</v>
      </c>
      <c r="BI39" s="28">
        <v>0.37</v>
      </c>
      <c r="BJ39" s="14">
        <f t="shared" si="18"/>
        <v>0</v>
      </c>
      <c r="BK39" s="21">
        <v>0.42</v>
      </c>
      <c r="BL39" s="28">
        <v>0.42</v>
      </c>
      <c r="BM39" s="14">
        <f t="shared" si="19"/>
        <v>0</v>
      </c>
      <c r="BN39" s="21">
        <v>0.38</v>
      </c>
      <c r="BO39" s="28">
        <v>0.38</v>
      </c>
      <c r="BP39" s="14">
        <f t="shared" si="20"/>
        <v>0</v>
      </c>
      <c r="BQ39" s="3">
        <v>50</v>
      </c>
      <c r="BR39" s="3">
        <v>50</v>
      </c>
      <c r="BS39" s="13">
        <f t="shared" si="21"/>
        <v>0</v>
      </c>
      <c r="BT39" s="3">
        <v>50</v>
      </c>
      <c r="BU39" s="3">
        <v>50</v>
      </c>
      <c r="BV39" s="13">
        <f t="shared" si="22"/>
        <v>0</v>
      </c>
      <c r="BW39" s="3">
        <v>50</v>
      </c>
      <c r="BX39" s="3">
        <v>50</v>
      </c>
      <c r="BY39" s="13">
        <f t="shared" si="23"/>
        <v>0</v>
      </c>
      <c r="BZ39">
        <v>0.3</v>
      </c>
      <c r="CA39" s="3">
        <v>0.4</v>
      </c>
      <c r="CB39" s="14">
        <f t="shared" si="24"/>
        <v>0.25000000000000006</v>
      </c>
      <c r="CC39" s="10">
        <v>28.39</v>
      </c>
      <c r="CD39" s="10">
        <v>28.5</v>
      </c>
      <c r="CE39" s="14">
        <f t="shared" si="25"/>
        <v>3.8596491228069978E-3</v>
      </c>
    </row>
    <row r="40" spans="1:83" x14ac:dyDescent="0.35">
      <c r="A40" s="29">
        <v>46104.272465277776</v>
      </c>
      <c r="B40" s="3" t="s">
        <v>25</v>
      </c>
      <c r="C40" s="3">
        <v>60</v>
      </c>
      <c r="D40" s="3">
        <v>35</v>
      </c>
      <c r="E40" s="3">
        <v>261</v>
      </c>
      <c r="F40" s="21">
        <v>403.56</v>
      </c>
      <c r="G40" s="3">
        <v>404.46</v>
      </c>
      <c r="H40" s="14">
        <f t="shared" si="0"/>
        <v>2.2251891410769355E-3</v>
      </c>
      <c r="I40" s="22">
        <v>404.77</v>
      </c>
      <c r="J40" s="3">
        <v>402.62</v>
      </c>
      <c r="K40" s="14">
        <f t="shared" si="1"/>
        <v>5.34002285033028E-3</v>
      </c>
      <c r="L40" s="22">
        <v>405.46</v>
      </c>
      <c r="M40" s="3">
        <v>404.96</v>
      </c>
      <c r="N40" s="14">
        <f t="shared" si="2"/>
        <v>1.2346898459107073E-3</v>
      </c>
      <c r="O40" s="22">
        <v>233</v>
      </c>
      <c r="P40" s="3">
        <v>232.63</v>
      </c>
      <c r="Q40" s="14">
        <f t="shared" si="3"/>
        <v>1.5905085328633648E-3</v>
      </c>
      <c r="R40" s="22">
        <v>233.7</v>
      </c>
      <c r="S40" s="3">
        <v>233.07</v>
      </c>
      <c r="T40" s="14">
        <f t="shared" si="4"/>
        <v>2.703050585660941E-3</v>
      </c>
      <c r="U40" s="22">
        <v>234.1</v>
      </c>
      <c r="V40" s="10">
        <v>232.78</v>
      </c>
      <c r="W40" s="14">
        <f t="shared" si="5"/>
        <v>5.670590256894893E-3</v>
      </c>
      <c r="X40" s="23">
        <v>2.6030000000000002</v>
      </c>
      <c r="Y40" s="11">
        <v>2.6</v>
      </c>
      <c r="Z40" s="14">
        <f t="shared" si="6"/>
        <v>1.1538461538461975E-3</v>
      </c>
      <c r="AA40" s="23">
        <v>2.6680000000000001</v>
      </c>
      <c r="AB40" s="11">
        <v>2.7</v>
      </c>
      <c r="AC40" s="14">
        <f t="shared" si="7"/>
        <v>1.1851851851851862E-2</v>
      </c>
      <c r="AD40" s="23">
        <v>2.7429999999999999</v>
      </c>
      <c r="AE40" s="11">
        <v>2.7</v>
      </c>
      <c r="AF40" s="14">
        <f t="shared" si="8"/>
        <v>1.5925925925925816E-2</v>
      </c>
      <c r="AG40" s="24">
        <v>225</v>
      </c>
      <c r="AH40" s="6">
        <v>223</v>
      </c>
      <c r="AI40" s="15">
        <f t="shared" si="9"/>
        <v>8.9686098654708519E-3</v>
      </c>
      <c r="AJ40" s="22">
        <v>261</v>
      </c>
      <c r="AK40" s="6">
        <v>259</v>
      </c>
      <c r="AL40" s="14">
        <f t="shared" si="10"/>
        <v>7.7220077220077222E-3</v>
      </c>
      <c r="AM40" s="24">
        <v>243</v>
      </c>
      <c r="AN40" s="6">
        <v>241</v>
      </c>
      <c r="AO40" s="14">
        <f t="shared" si="11"/>
        <v>8.2987551867219917E-3</v>
      </c>
      <c r="AP40" s="24">
        <v>606</v>
      </c>
      <c r="AQ40" s="6">
        <v>604</v>
      </c>
      <c r="AR40" s="14">
        <f t="shared" si="12"/>
        <v>3.3112582781456954E-3</v>
      </c>
      <c r="AS40" s="24">
        <v>624</v>
      </c>
      <c r="AT40" s="3">
        <v>622</v>
      </c>
      <c r="AU40" s="14">
        <f t="shared" si="13"/>
        <v>3.2154340836012861E-3</v>
      </c>
      <c r="AV40" s="24">
        <v>642</v>
      </c>
      <c r="AW40" s="6">
        <v>640</v>
      </c>
      <c r="AX40" s="14">
        <f t="shared" si="14"/>
        <v>3.1250000000000002E-3</v>
      </c>
      <c r="AY40" s="26">
        <v>563</v>
      </c>
      <c r="AZ40" s="6">
        <v>561</v>
      </c>
      <c r="BA40" s="14">
        <f t="shared" si="15"/>
        <v>3.5650623885918001E-3</v>
      </c>
      <c r="BB40" s="27">
        <v>566</v>
      </c>
      <c r="BC40" s="6">
        <v>564</v>
      </c>
      <c r="BD40" s="14">
        <f t="shared" si="16"/>
        <v>3.5460992907801418E-3</v>
      </c>
      <c r="BE40" s="24">
        <v>594</v>
      </c>
      <c r="BF40" s="6">
        <v>592</v>
      </c>
      <c r="BG40" s="14">
        <f t="shared" si="17"/>
        <v>3.3783783783783786E-3</v>
      </c>
      <c r="BH40" s="21">
        <v>0.37</v>
      </c>
      <c r="BI40" s="28">
        <v>0.37</v>
      </c>
      <c r="BJ40" s="14">
        <f t="shared" si="18"/>
        <v>0</v>
      </c>
      <c r="BK40" s="21">
        <v>0.42</v>
      </c>
      <c r="BL40" s="28">
        <v>0.42</v>
      </c>
      <c r="BM40" s="14">
        <f t="shared" si="19"/>
        <v>0</v>
      </c>
      <c r="BN40" s="21">
        <v>0.38</v>
      </c>
      <c r="BO40" s="28">
        <v>0.38</v>
      </c>
      <c r="BP40" s="14">
        <f t="shared" si="20"/>
        <v>0</v>
      </c>
      <c r="BQ40" s="3">
        <v>50</v>
      </c>
      <c r="BR40" s="3">
        <v>50</v>
      </c>
      <c r="BS40" s="13">
        <f t="shared" si="21"/>
        <v>0</v>
      </c>
      <c r="BT40" s="3">
        <v>50</v>
      </c>
      <c r="BU40" s="3">
        <v>50</v>
      </c>
      <c r="BV40" s="13">
        <f t="shared" si="22"/>
        <v>0</v>
      </c>
      <c r="BW40" s="3">
        <v>50</v>
      </c>
      <c r="BX40" s="3">
        <v>50</v>
      </c>
      <c r="BY40" s="13">
        <f t="shared" si="23"/>
        <v>0</v>
      </c>
      <c r="BZ40">
        <v>0.6</v>
      </c>
      <c r="CA40" s="3">
        <v>0.5</v>
      </c>
      <c r="CB40" s="14">
        <f t="shared" si="24"/>
        <v>0.19999999999999996</v>
      </c>
      <c r="CC40" s="10">
        <v>28.57</v>
      </c>
      <c r="CD40" s="10">
        <v>28.5</v>
      </c>
      <c r="CE40" s="14">
        <f t="shared" si="25"/>
        <v>2.456140350877203E-3</v>
      </c>
    </row>
    <row r="41" spans="1:83" x14ac:dyDescent="0.35">
      <c r="A41" s="29">
        <v>46104.272465277776</v>
      </c>
      <c r="B41" s="3" t="s">
        <v>25</v>
      </c>
      <c r="C41" s="3">
        <v>60</v>
      </c>
      <c r="D41" s="3">
        <v>36</v>
      </c>
      <c r="E41" s="3">
        <v>263</v>
      </c>
      <c r="F41" s="21">
        <v>403.38</v>
      </c>
      <c r="G41" s="3">
        <v>404.47</v>
      </c>
      <c r="H41" s="14">
        <f t="shared" si="0"/>
        <v>2.6948846638812068E-3</v>
      </c>
      <c r="I41" s="22">
        <v>404.77</v>
      </c>
      <c r="J41" s="3">
        <v>402.62</v>
      </c>
      <c r="K41" s="14">
        <f t="shared" si="1"/>
        <v>5.34002285033028E-3</v>
      </c>
      <c r="L41" s="22">
        <v>405.29</v>
      </c>
      <c r="M41" s="3">
        <v>404.96</v>
      </c>
      <c r="N41" s="14">
        <f t="shared" si="2"/>
        <v>8.1489529830116789E-4</v>
      </c>
      <c r="O41" s="22">
        <v>232.9</v>
      </c>
      <c r="P41" s="3">
        <v>232.63</v>
      </c>
      <c r="Q41" s="14">
        <f t="shared" si="3"/>
        <v>1.1606413618192419E-3</v>
      </c>
      <c r="R41" s="22">
        <v>233.7</v>
      </c>
      <c r="S41" s="3">
        <v>233.07</v>
      </c>
      <c r="T41" s="14">
        <f t="shared" si="4"/>
        <v>2.703050585660941E-3</v>
      </c>
      <c r="U41" s="22">
        <v>234</v>
      </c>
      <c r="V41" s="10">
        <v>232.78</v>
      </c>
      <c r="W41" s="14">
        <f t="shared" si="5"/>
        <v>5.2410000859180296E-3</v>
      </c>
      <c r="X41" s="23">
        <v>2.605</v>
      </c>
      <c r="Y41" s="11">
        <v>2.6</v>
      </c>
      <c r="Z41" s="14">
        <f t="shared" si="6"/>
        <v>1.923076923076882E-3</v>
      </c>
      <c r="AA41" s="23">
        <v>2.6720000000000002</v>
      </c>
      <c r="AB41" s="11">
        <v>2.7</v>
      </c>
      <c r="AC41" s="14">
        <f t="shared" si="7"/>
        <v>1.0370370370370379E-2</v>
      </c>
      <c r="AD41" s="23">
        <v>2.7469999999999999</v>
      </c>
      <c r="AE41" s="11">
        <v>2.7</v>
      </c>
      <c r="AF41" s="14">
        <f t="shared" si="8"/>
        <v>1.7407407407407299E-2</v>
      </c>
      <c r="AG41" s="24">
        <v>226</v>
      </c>
      <c r="AH41" s="6">
        <v>224</v>
      </c>
      <c r="AI41" s="15">
        <f t="shared" si="9"/>
        <v>8.9285714285714281E-3</v>
      </c>
      <c r="AJ41" s="24">
        <v>262</v>
      </c>
      <c r="AK41" s="6">
        <v>260</v>
      </c>
      <c r="AL41" s="14">
        <f t="shared" si="10"/>
        <v>7.6923076923076927E-3</v>
      </c>
      <c r="AM41" s="24">
        <v>244</v>
      </c>
      <c r="AN41" s="6">
        <v>242</v>
      </c>
      <c r="AO41" s="14">
        <f t="shared" si="11"/>
        <v>8.2644628099173556E-3</v>
      </c>
      <c r="AP41" s="24">
        <v>607</v>
      </c>
      <c r="AQ41" s="6">
        <v>605</v>
      </c>
      <c r="AR41" s="14">
        <f t="shared" si="12"/>
        <v>3.3057851239669421E-3</v>
      </c>
      <c r="AS41" s="24">
        <v>624</v>
      </c>
      <c r="AT41" s="3">
        <v>622</v>
      </c>
      <c r="AU41" s="14">
        <f t="shared" si="13"/>
        <v>3.2154340836012861E-3</v>
      </c>
      <c r="AV41" s="24">
        <v>643</v>
      </c>
      <c r="AW41" s="6">
        <v>641</v>
      </c>
      <c r="AX41" s="14">
        <f t="shared" si="14"/>
        <v>3.1201248049921998E-3</v>
      </c>
      <c r="AY41" s="26">
        <v>563</v>
      </c>
      <c r="AZ41" s="6">
        <v>561</v>
      </c>
      <c r="BA41" s="14">
        <f t="shared" si="15"/>
        <v>3.5650623885918001E-3</v>
      </c>
      <c r="BB41" s="27">
        <v>567</v>
      </c>
      <c r="BC41" s="6">
        <v>565</v>
      </c>
      <c r="BD41" s="14">
        <f t="shared" si="16"/>
        <v>3.5398230088495575E-3</v>
      </c>
      <c r="BE41" s="24">
        <v>595</v>
      </c>
      <c r="BF41" s="6">
        <v>593</v>
      </c>
      <c r="BG41" s="14">
        <f t="shared" si="17"/>
        <v>3.3726812816188868E-3</v>
      </c>
      <c r="BH41" s="21">
        <v>0.37</v>
      </c>
      <c r="BI41" s="28">
        <v>0.37</v>
      </c>
      <c r="BJ41" s="14">
        <f t="shared" si="18"/>
        <v>0</v>
      </c>
      <c r="BK41" s="21">
        <v>0.42</v>
      </c>
      <c r="BL41" s="28">
        <v>0.42</v>
      </c>
      <c r="BM41" s="14">
        <f t="shared" si="19"/>
        <v>0</v>
      </c>
      <c r="BN41" s="21">
        <v>0.38</v>
      </c>
      <c r="BO41" s="28">
        <v>0.38</v>
      </c>
      <c r="BP41" s="14">
        <f t="shared" si="20"/>
        <v>0</v>
      </c>
      <c r="BQ41" s="3">
        <v>50</v>
      </c>
      <c r="BR41" s="3">
        <v>50</v>
      </c>
      <c r="BS41" s="13">
        <f t="shared" si="21"/>
        <v>0</v>
      </c>
      <c r="BT41" s="3">
        <v>50</v>
      </c>
      <c r="BU41" s="3">
        <v>50</v>
      </c>
      <c r="BV41" s="13">
        <f t="shared" si="22"/>
        <v>0</v>
      </c>
      <c r="BW41" s="3">
        <v>50</v>
      </c>
      <c r="BX41" s="3">
        <v>50</v>
      </c>
      <c r="BY41" s="13">
        <f t="shared" si="23"/>
        <v>0</v>
      </c>
      <c r="BZ41">
        <v>0.9</v>
      </c>
      <c r="CA41" s="3">
        <v>0.8</v>
      </c>
      <c r="CB41" s="14">
        <f t="shared" si="24"/>
        <v>0.12499999999999997</v>
      </c>
      <c r="CC41" s="20">
        <v>28.47</v>
      </c>
      <c r="CD41" s="10">
        <v>28.5</v>
      </c>
      <c r="CE41" s="14">
        <f t="shared" si="25"/>
        <v>1.0526315789474083E-3</v>
      </c>
    </row>
    <row r="42" spans="1:83" x14ac:dyDescent="0.35">
      <c r="A42" s="29">
        <v>46104.272465277776</v>
      </c>
      <c r="B42" s="3" t="s">
        <v>25</v>
      </c>
      <c r="C42" s="3">
        <v>60</v>
      </c>
      <c r="D42" s="3">
        <v>37</v>
      </c>
      <c r="E42" s="3">
        <v>265</v>
      </c>
      <c r="F42" s="21">
        <v>403.38</v>
      </c>
      <c r="G42" s="3">
        <v>404.47</v>
      </c>
      <c r="H42" s="14">
        <f t="shared" si="0"/>
        <v>2.6948846638812068E-3</v>
      </c>
      <c r="I42" s="22">
        <v>404.6</v>
      </c>
      <c r="J42" s="3">
        <v>402.62</v>
      </c>
      <c r="K42" s="14">
        <f t="shared" si="1"/>
        <v>4.9177884854205408E-3</v>
      </c>
      <c r="L42" s="22">
        <v>405.29</v>
      </c>
      <c r="M42" s="3">
        <v>404.96</v>
      </c>
      <c r="N42" s="14">
        <f t="shared" si="2"/>
        <v>8.1489529830116789E-4</v>
      </c>
      <c r="O42" s="22">
        <v>232.9</v>
      </c>
      <c r="P42" s="3">
        <v>232.63</v>
      </c>
      <c r="Q42" s="14">
        <f t="shared" si="3"/>
        <v>1.1606413618192419E-3</v>
      </c>
      <c r="R42" s="22">
        <v>233.6</v>
      </c>
      <c r="S42" s="3">
        <v>233.07</v>
      </c>
      <c r="T42" s="14">
        <f t="shared" si="4"/>
        <v>2.2739949371433526E-3</v>
      </c>
      <c r="U42" s="22">
        <v>234</v>
      </c>
      <c r="V42" s="10">
        <v>232.75</v>
      </c>
      <c r="W42" s="14">
        <f t="shared" si="5"/>
        <v>5.3705692803437165E-3</v>
      </c>
      <c r="X42" s="23">
        <v>2.6019999999999999</v>
      </c>
      <c r="Y42" s="11">
        <v>2.6</v>
      </c>
      <c r="Z42" s="14">
        <f t="shared" si="6"/>
        <v>7.6923076923068445E-4</v>
      </c>
      <c r="AA42" s="23">
        <v>2.67</v>
      </c>
      <c r="AB42" s="11">
        <v>2.7</v>
      </c>
      <c r="AC42" s="14">
        <f t="shared" si="7"/>
        <v>1.1111111111111202E-2</v>
      </c>
      <c r="AD42" s="23">
        <v>2.746</v>
      </c>
      <c r="AE42" s="11">
        <v>2.7</v>
      </c>
      <c r="AF42" s="14">
        <f t="shared" si="8"/>
        <v>1.7037037037036969E-2</v>
      </c>
      <c r="AG42" s="24">
        <v>228</v>
      </c>
      <c r="AH42" s="6">
        <v>226</v>
      </c>
      <c r="AI42" s="15">
        <f t="shared" si="9"/>
        <v>8.8495575221238937E-3</v>
      </c>
      <c r="AJ42" s="22">
        <v>263</v>
      </c>
      <c r="AK42" s="6">
        <v>261</v>
      </c>
      <c r="AL42" s="14">
        <f t="shared" si="10"/>
        <v>7.6628352490421452E-3</v>
      </c>
      <c r="AM42" s="24">
        <v>244</v>
      </c>
      <c r="AN42" s="6">
        <v>242</v>
      </c>
      <c r="AO42" s="14">
        <f t="shared" si="11"/>
        <v>8.2644628099173556E-3</v>
      </c>
      <c r="AP42" s="24">
        <v>606</v>
      </c>
      <c r="AQ42" s="6">
        <v>604</v>
      </c>
      <c r="AR42" s="14">
        <f t="shared" si="12"/>
        <v>3.3112582781456954E-3</v>
      </c>
      <c r="AS42" s="24">
        <v>624</v>
      </c>
      <c r="AT42" s="3">
        <v>622</v>
      </c>
      <c r="AU42" s="14">
        <f t="shared" si="13"/>
        <v>3.2154340836012861E-3</v>
      </c>
      <c r="AV42" s="24">
        <v>643</v>
      </c>
      <c r="AW42" s="6">
        <v>641</v>
      </c>
      <c r="AX42" s="14">
        <f t="shared" si="14"/>
        <v>3.1201248049921998E-3</v>
      </c>
      <c r="AY42" s="26">
        <v>562</v>
      </c>
      <c r="AZ42" s="6">
        <v>560</v>
      </c>
      <c r="BA42" s="14">
        <f t="shared" si="15"/>
        <v>3.5714285714285713E-3</v>
      </c>
      <c r="BB42" s="27">
        <v>565</v>
      </c>
      <c r="BC42" s="6">
        <v>563</v>
      </c>
      <c r="BD42" s="14">
        <f t="shared" si="16"/>
        <v>3.552397868561279E-3</v>
      </c>
      <c r="BE42" s="24">
        <v>594</v>
      </c>
      <c r="BF42" s="6">
        <v>592</v>
      </c>
      <c r="BG42" s="14">
        <f t="shared" si="17"/>
        <v>3.3783783783783786E-3</v>
      </c>
      <c r="BH42" s="21">
        <v>0.38</v>
      </c>
      <c r="BI42" s="28">
        <v>0.38</v>
      </c>
      <c r="BJ42" s="14">
        <f t="shared" si="18"/>
        <v>0</v>
      </c>
      <c r="BK42" s="21">
        <v>0.42</v>
      </c>
      <c r="BL42" s="28">
        <v>0.42</v>
      </c>
      <c r="BM42" s="14">
        <f t="shared" si="19"/>
        <v>0</v>
      </c>
      <c r="BN42" s="21">
        <v>0.38</v>
      </c>
      <c r="BO42" s="28">
        <v>0.38</v>
      </c>
      <c r="BP42" s="14">
        <f t="shared" si="20"/>
        <v>0</v>
      </c>
      <c r="BQ42" s="3">
        <v>50</v>
      </c>
      <c r="BR42" s="3">
        <v>50</v>
      </c>
      <c r="BS42" s="13">
        <f t="shared" si="21"/>
        <v>0</v>
      </c>
      <c r="BT42" s="3">
        <v>50</v>
      </c>
      <c r="BU42" s="3">
        <v>50</v>
      </c>
      <c r="BV42" s="13">
        <f t="shared" si="22"/>
        <v>0</v>
      </c>
      <c r="BW42" s="3">
        <v>50</v>
      </c>
      <c r="BX42" s="3">
        <v>50</v>
      </c>
      <c r="BY42" s="13">
        <f t="shared" si="23"/>
        <v>0</v>
      </c>
      <c r="BZ42">
        <v>0.8</v>
      </c>
      <c r="CA42" s="3">
        <v>0.8</v>
      </c>
      <c r="CB42" s="14">
        <f t="shared" si="24"/>
        <v>0</v>
      </c>
      <c r="CC42" s="20">
        <v>28.39</v>
      </c>
      <c r="CD42" s="10">
        <v>28.5</v>
      </c>
      <c r="CE42" s="14">
        <f t="shared" si="25"/>
        <v>3.8596491228069978E-3</v>
      </c>
    </row>
    <row r="43" spans="1:83" x14ac:dyDescent="0.35">
      <c r="A43" s="29">
        <v>46104.272465277776</v>
      </c>
      <c r="B43" s="3" t="s">
        <v>25</v>
      </c>
      <c r="C43" s="3">
        <v>60</v>
      </c>
      <c r="D43" s="3">
        <v>38</v>
      </c>
      <c r="E43" s="3">
        <v>267</v>
      </c>
      <c r="F43" s="21">
        <v>403.21</v>
      </c>
      <c r="G43" s="3">
        <v>404.47</v>
      </c>
      <c r="H43" s="14">
        <f t="shared" si="0"/>
        <v>3.1151877765966517E-3</v>
      </c>
      <c r="I43" s="22">
        <v>404.6</v>
      </c>
      <c r="J43" s="3">
        <v>402.62</v>
      </c>
      <c r="K43" s="14">
        <f t="shared" si="1"/>
        <v>4.9177884854205408E-3</v>
      </c>
      <c r="L43" s="22">
        <v>405.29</v>
      </c>
      <c r="M43" s="3">
        <v>404.96</v>
      </c>
      <c r="N43" s="14">
        <f t="shared" si="2"/>
        <v>8.1489529830116789E-4</v>
      </c>
      <c r="O43" s="22">
        <v>232.8</v>
      </c>
      <c r="P43" s="3">
        <v>232.63</v>
      </c>
      <c r="Q43" s="14">
        <f t="shared" si="3"/>
        <v>7.3077419077511891E-4</v>
      </c>
      <c r="R43" s="22">
        <v>233.6</v>
      </c>
      <c r="S43" s="3">
        <v>233.07</v>
      </c>
      <c r="T43" s="14">
        <f t="shared" si="4"/>
        <v>2.2739949371433526E-3</v>
      </c>
      <c r="U43" s="22">
        <v>234</v>
      </c>
      <c r="V43" s="10">
        <v>232.75</v>
      </c>
      <c r="W43" s="14">
        <f t="shared" si="5"/>
        <v>5.3705692803437165E-3</v>
      </c>
      <c r="X43" s="23">
        <v>2.6059999999999999</v>
      </c>
      <c r="Y43" s="11">
        <v>2.6</v>
      </c>
      <c r="Z43" s="14">
        <f t="shared" si="6"/>
        <v>2.3076923076922242E-3</v>
      </c>
      <c r="AA43" s="23">
        <v>2.6739999999999999</v>
      </c>
      <c r="AB43" s="11">
        <v>2.7</v>
      </c>
      <c r="AC43" s="14">
        <f t="shared" si="7"/>
        <v>9.6296296296297205E-3</v>
      </c>
      <c r="AD43" s="23">
        <v>2.7469999999999999</v>
      </c>
      <c r="AE43" s="11">
        <v>2.7</v>
      </c>
      <c r="AF43" s="14">
        <f t="shared" si="8"/>
        <v>1.7407407407407299E-2</v>
      </c>
      <c r="AG43" s="24">
        <v>228</v>
      </c>
      <c r="AH43" s="6">
        <v>226</v>
      </c>
      <c r="AI43" s="15">
        <f t="shared" si="9"/>
        <v>8.8495575221238937E-3</v>
      </c>
      <c r="AJ43" s="22">
        <v>264</v>
      </c>
      <c r="AK43" s="6">
        <v>262</v>
      </c>
      <c r="AL43" s="14">
        <f t="shared" si="10"/>
        <v>7.6335877862595417E-3</v>
      </c>
      <c r="AM43" s="24">
        <v>246</v>
      </c>
      <c r="AN43" s="6">
        <v>244</v>
      </c>
      <c r="AO43" s="14">
        <f t="shared" si="11"/>
        <v>8.1967213114754103E-3</v>
      </c>
      <c r="AP43" s="24">
        <v>607</v>
      </c>
      <c r="AQ43" s="6">
        <v>605</v>
      </c>
      <c r="AR43" s="14">
        <f t="shared" si="12"/>
        <v>3.3057851239669421E-3</v>
      </c>
      <c r="AS43" s="24">
        <v>625</v>
      </c>
      <c r="AT43" s="3">
        <v>623</v>
      </c>
      <c r="AU43" s="14">
        <f t="shared" si="13"/>
        <v>3.2102728731942215E-3</v>
      </c>
      <c r="AV43" s="24">
        <v>643</v>
      </c>
      <c r="AW43" s="6">
        <v>641</v>
      </c>
      <c r="AX43" s="14">
        <f t="shared" si="14"/>
        <v>3.1201248049921998E-3</v>
      </c>
      <c r="AY43" s="26">
        <v>562</v>
      </c>
      <c r="AZ43" s="6">
        <v>560</v>
      </c>
      <c r="BA43" s="14">
        <f t="shared" si="15"/>
        <v>3.5714285714285713E-3</v>
      </c>
      <c r="BB43" s="27">
        <v>566</v>
      </c>
      <c r="BC43" s="6">
        <v>564</v>
      </c>
      <c r="BD43" s="14">
        <f t="shared" si="16"/>
        <v>3.5460992907801418E-3</v>
      </c>
      <c r="BE43" s="24">
        <v>594</v>
      </c>
      <c r="BF43" s="6">
        <v>592</v>
      </c>
      <c r="BG43" s="14">
        <f t="shared" si="17"/>
        <v>3.3783783783783786E-3</v>
      </c>
      <c r="BH43" s="21">
        <v>0.38</v>
      </c>
      <c r="BI43" s="28">
        <v>0.38</v>
      </c>
      <c r="BJ43" s="14">
        <f t="shared" si="18"/>
        <v>0</v>
      </c>
      <c r="BK43" s="21">
        <v>0.42</v>
      </c>
      <c r="BL43" s="28">
        <v>0.42</v>
      </c>
      <c r="BM43" s="14">
        <f t="shared" si="19"/>
        <v>0</v>
      </c>
      <c r="BN43" s="21">
        <v>0.38</v>
      </c>
      <c r="BO43" s="28">
        <v>0.38</v>
      </c>
      <c r="BP43" s="14">
        <f t="shared" si="20"/>
        <v>0</v>
      </c>
      <c r="BQ43" s="3">
        <v>50</v>
      </c>
      <c r="BR43" s="3">
        <v>50</v>
      </c>
      <c r="BS43" s="13">
        <f t="shared" si="21"/>
        <v>0</v>
      </c>
      <c r="BT43" s="3">
        <v>50</v>
      </c>
      <c r="BU43" s="3">
        <v>50</v>
      </c>
      <c r="BV43" s="13">
        <f t="shared" si="22"/>
        <v>0</v>
      </c>
      <c r="BW43" s="3">
        <v>50</v>
      </c>
      <c r="BX43" s="3">
        <v>50</v>
      </c>
      <c r="BY43" s="13">
        <f t="shared" si="23"/>
        <v>0</v>
      </c>
      <c r="BZ43">
        <v>0.7</v>
      </c>
      <c r="CA43" s="3">
        <v>0.8</v>
      </c>
      <c r="CB43" s="14">
        <f t="shared" si="24"/>
        <v>0.12500000000000011</v>
      </c>
      <c r="CC43" s="20">
        <v>28.47</v>
      </c>
      <c r="CD43" s="10">
        <v>28.4</v>
      </c>
      <c r="CE43" s="14">
        <f t="shared" si="25"/>
        <v>2.4647887323943764E-3</v>
      </c>
    </row>
    <row r="44" spans="1:83" x14ac:dyDescent="0.35">
      <c r="A44" s="29">
        <v>46104.272465277776</v>
      </c>
      <c r="B44" s="3" t="s">
        <v>25</v>
      </c>
      <c r="C44" s="3">
        <v>60</v>
      </c>
      <c r="D44" s="3">
        <v>39</v>
      </c>
      <c r="E44" s="3">
        <v>269</v>
      </c>
      <c r="F44" s="21">
        <v>403.21</v>
      </c>
      <c r="G44" s="3">
        <v>404.47</v>
      </c>
      <c r="H44" s="14">
        <f t="shared" si="0"/>
        <v>3.1151877765966517E-3</v>
      </c>
      <c r="I44" s="22">
        <v>404.6</v>
      </c>
      <c r="J44" s="3">
        <v>402.62</v>
      </c>
      <c r="K44" s="14">
        <f t="shared" si="1"/>
        <v>4.9177884854205408E-3</v>
      </c>
      <c r="L44" s="22">
        <v>405.11</v>
      </c>
      <c r="M44" s="3">
        <v>404.96</v>
      </c>
      <c r="N44" s="14">
        <f t="shared" si="2"/>
        <v>3.7040695377329639E-4</v>
      </c>
      <c r="O44" s="22">
        <v>232.8</v>
      </c>
      <c r="P44" s="3">
        <v>232.63</v>
      </c>
      <c r="Q44" s="14">
        <f t="shared" si="3"/>
        <v>7.3077419077511891E-4</v>
      </c>
      <c r="R44" s="22">
        <v>233.6</v>
      </c>
      <c r="S44" s="3">
        <v>233.07</v>
      </c>
      <c r="T44" s="14">
        <f t="shared" si="4"/>
        <v>2.2739949371433526E-3</v>
      </c>
      <c r="U44" s="22">
        <v>233.9</v>
      </c>
      <c r="V44" s="10">
        <v>232.75</v>
      </c>
      <c r="W44" s="14">
        <f t="shared" si="5"/>
        <v>4.9409237379162436E-3</v>
      </c>
      <c r="X44" s="23">
        <v>2.6070000000000002</v>
      </c>
      <c r="Y44" s="11">
        <v>2.6</v>
      </c>
      <c r="Z44" s="14">
        <f t="shared" si="6"/>
        <v>2.6923076923077373E-3</v>
      </c>
      <c r="AA44" s="23">
        <v>2.673</v>
      </c>
      <c r="AB44" s="11">
        <v>2.7</v>
      </c>
      <c r="AC44" s="14">
        <f t="shared" si="7"/>
        <v>1.0000000000000049E-2</v>
      </c>
      <c r="AD44" s="23">
        <v>2.75</v>
      </c>
      <c r="AE44" s="11">
        <v>2.7</v>
      </c>
      <c r="AF44" s="14">
        <f t="shared" si="8"/>
        <v>1.8518518518518452E-2</v>
      </c>
      <c r="AG44" s="24">
        <v>229</v>
      </c>
      <c r="AH44" s="6">
        <v>227</v>
      </c>
      <c r="AI44" s="15">
        <f t="shared" si="9"/>
        <v>8.8105726872246704E-3</v>
      </c>
      <c r="AJ44" s="22">
        <v>266</v>
      </c>
      <c r="AK44" s="6">
        <v>264</v>
      </c>
      <c r="AL44" s="14">
        <f t="shared" si="10"/>
        <v>7.575757575757576E-3</v>
      </c>
      <c r="AM44" s="24">
        <v>247</v>
      </c>
      <c r="AN44" s="6">
        <v>245</v>
      </c>
      <c r="AO44" s="14">
        <f t="shared" si="11"/>
        <v>8.1632653061224497E-3</v>
      </c>
      <c r="AP44" s="24">
        <v>607</v>
      </c>
      <c r="AQ44" s="6">
        <v>605</v>
      </c>
      <c r="AR44" s="14">
        <f t="shared" si="12"/>
        <v>3.3057851239669421E-3</v>
      </c>
      <c r="AS44" s="24">
        <v>624</v>
      </c>
      <c r="AT44" s="3">
        <v>622</v>
      </c>
      <c r="AU44" s="14">
        <f t="shared" si="13"/>
        <v>3.2154340836012861E-3</v>
      </c>
      <c r="AV44" s="24">
        <v>643</v>
      </c>
      <c r="AW44" s="6">
        <v>641</v>
      </c>
      <c r="AX44" s="14">
        <f t="shared" si="14"/>
        <v>3.1201248049921998E-3</v>
      </c>
      <c r="AY44" s="26">
        <v>562</v>
      </c>
      <c r="AZ44" s="6">
        <v>560</v>
      </c>
      <c r="BA44" s="14">
        <f t="shared" si="15"/>
        <v>3.5714285714285713E-3</v>
      </c>
      <c r="BB44" s="27">
        <v>565</v>
      </c>
      <c r="BC44" s="6">
        <v>563</v>
      </c>
      <c r="BD44" s="14">
        <f t="shared" si="16"/>
        <v>3.552397868561279E-3</v>
      </c>
      <c r="BE44" s="24">
        <v>594</v>
      </c>
      <c r="BF44" s="6">
        <v>592</v>
      </c>
      <c r="BG44" s="14">
        <f t="shared" si="17"/>
        <v>3.3783783783783786E-3</v>
      </c>
      <c r="BH44" s="21">
        <v>0.38</v>
      </c>
      <c r="BI44" s="28">
        <v>0.38</v>
      </c>
      <c r="BJ44" s="14">
        <f t="shared" si="18"/>
        <v>0</v>
      </c>
      <c r="BK44" s="21">
        <v>0.43</v>
      </c>
      <c r="BL44" s="28">
        <v>0.42</v>
      </c>
      <c r="BM44" s="14">
        <f t="shared" si="19"/>
        <v>2.3809523809523832E-2</v>
      </c>
      <c r="BN44" s="21">
        <v>0.38</v>
      </c>
      <c r="BO44" s="28">
        <v>0.38</v>
      </c>
      <c r="BP44" s="14">
        <f t="shared" si="20"/>
        <v>0</v>
      </c>
      <c r="BQ44" s="3">
        <v>50</v>
      </c>
      <c r="BR44" s="3">
        <v>50</v>
      </c>
      <c r="BS44" s="13">
        <f t="shared" si="21"/>
        <v>0</v>
      </c>
      <c r="BT44" s="3">
        <v>50</v>
      </c>
      <c r="BU44" s="3">
        <v>50</v>
      </c>
      <c r="BV44" s="13">
        <f t="shared" si="22"/>
        <v>0</v>
      </c>
      <c r="BW44" s="3">
        <v>50</v>
      </c>
      <c r="BX44" s="3">
        <v>50</v>
      </c>
      <c r="BY44" s="13">
        <f t="shared" si="23"/>
        <v>0</v>
      </c>
      <c r="BZ44">
        <v>0.4</v>
      </c>
      <c r="CA44" s="3">
        <v>0.8</v>
      </c>
      <c r="CB44" s="14">
        <f t="shared" si="24"/>
        <v>0.5</v>
      </c>
      <c r="CC44" s="20">
        <v>28.33</v>
      </c>
      <c r="CD44" s="10">
        <v>28.4</v>
      </c>
      <c r="CE44" s="14">
        <f t="shared" si="25"/>
        <v>2.4647887323943764E-3</v>
      </c>
    </row>
    <row r="45" spans="1:83" x14ac:dyDescent="0.35">
      <c r="A45" s="29">
        <v>46104.272465277776</v>
      </c>
      <c r="B45" s="3" t="s">
        <v>25</v>
      </c>
      <c r="C45" s="3">
        <v>60</v>
      </c>
      <c r="D45" s="3">
        <v>40</v>
      </c>
      <c r="E45" s="3">
        <v>271</v>
      </c>
      <c r="F45" s="21">
        <v>403.21</v>
      </c>
      <c r="G45" s="3">
        <v>404.47</v>
      </c>
      <c r="H45" s="14">
        <f t="shared" si="0"/>
        <v>3.1151877765966517E-3</v>
      </c>
      <c r="I45" s="22">
        <v>404.42</v>
      </c>
      <c r="J45" s="3">
        <v>402.62</v>
      </c>
      <c r="K45" s="14">
        <f t="shared" si="1"/>
        <v>4.4707168049277516E-3</v>
      </c>
      <c r="L45" s="22">
        <v>405.11</v>
      </c>
      <c r="M45" s="3">
        <v>404.96</v>
      </c>
      <c r="N45" s="14">
        <f t="shared" si="2"/>
        <v>3.7040695377329639E-4</v>
      </c>
      <c r="O45" s="22">
        <v>232.8</v>
      </c>
      <c r="P45" s="3">
        <v>232.63</v>
      </c>
      <c r="Q45" s="14">
        <f t="shared" si="3"/>
        <v>7.3077419077511891E-4</v>
      </c>
      <c r="R45" s="22">
        <v>233.5</v>
      </c>
      <c r="S45" s="3">
        <v>233.07</v>
      </c>
      <c r="T45" s="14">
        <f t="shared" si="4"/>
        <v>1.844939288625764E-3</v>
      </c>
      <c r="U45" s="22">
        <v>233.9</v>
      </c>
      <c r="V45" s="10">
        <v>232.75</v>
      </c>
      <c r="W45" s="14">
        <f t="shared" si="5"/>
        <v>4.9409237379162436E-3</v>
      </c>
      <c r="X45" s="23">
        <v>2.6080000000000001</v>
      </c>
      <c r="Y45" s="11">
        <v>2.6</v>
      </c>
      <c r="Z45" s="14">
        <f t="shared" si="6"/>
        <v>3.0769230769230795E-3</v>
      </c>
      <c r="AA45" s="23">
        <v>2.677</v>
      </c>
      <c r="AB45" s="11">
        <v>2.7</v>
      </c>
      <c r="AC45" s="14">
        <f t="shared" si="7"/>
        <v>8.5185185185185659E-3</v>
      </c>
      <c r="AD45" s="23">
        <v>2.75</v>
      </c>
      <c r="AE45" s="11">
        <v>2.7</v>
      </c>
      <c r="AF45" s="14">
        <f t="shared" si="8"/>
        <v>1.8518518518518452E-2</v>
      </c>
      <c r="AG45" s="24">
        <v>231</v>
      </c>
      <c r="AH45" s="6">
        <v>229</v>
      </c>
      <c r="AI45" s="15">
        <f t="shared" si="9"/>
        <v>8.7336244541484712E-3</v>
      </c>
      <c r="AJ45" s="22">
        <v>268</v>
      </c>
      <c r="AK45" s="6">
        <v>266</v>
      </c>
      <c r="AL45" s="14">
        <f t="shared" si="10"/>
        <v>7.5187969924812026E-3</v>
      </c>
      <c r="AM45" s="24">
        <v>248</v>
      </c>
      <c r="AN45" s="6">
        <v>246</v>
      </c>
      <c r="AO45" s="14">
        <f t="shared" si="11"/>
        <v>8.130081300813009E-3</v>
      </c>
      <c r="AP45" s="24">
        <v>607</v>
      </c>
      <c r="AQ45" s="6">
        <v>605</v>
      </c>
      <c r="AR45" s="14">
        <f t="shared" si="12"/>
        <v>3.3057851239669421E-3</v>
      </c>
      <c r="AS45" s="24">
        <v>625</v>
      </c>
      <c r="AT45" s="3">
        <v>623</v>
      </c>
      <c r="AU45" s="14">
        <f t="shared" si="13"/>
        <v>3.2102728731942215E-3</v>
      </c>
      <c r="AV45" s="24">
        <v>643</v>
      </c>
      <c r="AW45" s="6">
        <v>641</v>
      </c>
      <c r="AX45" s="14">
        <f t="shared" si="14"/>
        <v>3.1201248049921998E-3</v>
      </c>
      <c r="AY45" s="26">
        <v>561</v>
      </c>
      <c r="AZ45" s="6">
        <v>559</v>
      </c>
      <c r="BA45" s="14">
        <f t="shared" si="15"/>
        <v>3.5778175313059034E-3</v>
      </c>
      <c r="BB45" s="27">
        <v>565</v>
      </c>
      <c r="BC45" s="6">
        <v>563</v>
      </c>
      <c r="BD45" s="14">
        <f t="shared" si="16"/>
        <v>3.552397868561279E-3</v>
      </c>
      <c r="BE45" s="24">
        <v>594</v>
      </c>
      <c r="BF45" s="6">
        <v>592</v>
      </c>
      <c r="BG45" s="14">
        <f t="shared" si="17"/>
        <v>3.3783783783783786E-3</v>
      </c>
      <c r="BH45" s="21">
        <v>0.38</v>
      </c>
      <c r="BI45" s="28">
        <v>0.38</v>
      </c>
      <c r="BJ45" s="14">
        <f t="shared" si="18"/>
        <v>0</v>
      </c>
      <c r="BK45" s="21">
        <v>0.43</v>
      </c>
      <c r="BL45" s="28">
        <v>0.42</v>
      </c>
      <c r="BM45" s="14">
        <f t="shared" si="19"/>
        <v>2.3809523809523832E-2</v>
      </c>
      <c r="BN45" s="21">
        <v>0.39</v>
      </c>
      <c r="BO45" s="28">
        <v>0.39</v>
      </c>
      <c r="BP45" s="14">
        <f t="shared" si="20"/>
        <v>0</v>
      </c>
      <c r="BQ45" s="3">
        <v>50</v>
      </c>
      <c r="BR45" s="3">
        <v>50</v>
      </c>
      <c r="BS45" s="13">
        <f t="shared" si="21"/>
        <v>0</v>
      </c>
      <c r="BT45" s="3">
        <v>50</v>
      </c>
      <c r="BU45" s="3">
        <v>50</v>
      </c>
      <c r="BV45" s="13">
        <f t="shared" si="22"/>
        <v>0</v>
      </c>
      <c r="BW45" s="3">
        <v>50</v>
      </c>
      <c r="BX45" s="3">
        <v>50</v>
      </c>
      <c r="BY45" s="13">
        <f t="shared" si="23"/>
        <v>0</v>
      </c>
      <c r="BZ45">
        <v>0.7</v>
      </c>
      <c r="CA45" s="3">
        <v>0.8</v>
      </c>
      <c r="CB45" s="14">
        <f t="shared" si="24"/>
        <v>0.12500000000000011</v>
      </c>
      <c r="CC45" s="20">
        <v>28.37</v>
      </c>
      <c r="CD45" s="10">
        <v>28.4</v>
      </c>
      <c r="CE45" s="14">
        <f t="shared" si="25"/>
        <v>1.056338028168929E-3</v>
      </c>
    </row>
    <row r="46" spans="1:83" x14ac:dyDescent="0.35">
      <c r="A46" s="29">
        <v>46104.272465277776</v>
      </c>
      <c r="B46" s="3" t="s">
        <v>25</v>
      </c>
      <c r="C46" s="3">
        <v>60</v>
      </c>
      <c r="D46" s="3">
        <v>41</v>
      </c>
      <c r="E46" s="3">
        <v>273</v>
      </c>
      <c r="F46" s="21">
        <v>403.04</v>
      </c>
      <c r="G46" s="3">
        <v>404.47</v>
      </c>
      <c r="H46" s="14">
        <f t="shared" si="0"/>
        <v>3.5354908893119557E-3</v>
      </c>
      <c r="I46" s="22">
        <v>404.42</v>
      </c>
      <c r="J46" s="3">
        <v>402.62</v>
      </c>
      <c r="K46" s="14">
        <f t="shared" si="1"/>
        <v>4.4707168049277516E-3</v>
      </c>
      <c r="L46" s="22">
        <v>405.11</v>
      </c>
      <c r="M46" s="3">
        <v>404.96</v>
      </c>
      <c r="N46" s="14">
        <f t="shared" si="2"/>
        <v>3.7040695377329639E-4</v>
      </c>
      <c r="O46" s="22">
        <v>232.7</v>
      </c>
      <c r="P46" s="3">
        <v>232.63</v>
      </c>
      <c r="Q46" s="14">
        <f t="shared" si="3"/>
        <v>3.0090701973087383E-4</v>
      </c>
      <c r="R46" s="22">
        <v>233.5</v>
      </c>
      <c r="S46" s="3">
        <v>233.07</v>
      </c>
      <c r="T46" s="14">
        <f t="shared" si="4"/>
        <v>1.844939288625764E-3</v>
      </c>
      <c r="U46" s="22">
        <v>233.9</v>
      </c>
      <c r="V46" s="10">
        <v>232.75</v>
      </c>
      <c r="W46" s="14">
        <f t="shared" si="5"/>
        <v>4.9409237379162436E-3</v>
      </c>
      <c r="X46" s="23">
        <v>2.6120000000000001</v>
      </c>
      <c r="Y46" s="11">
        <v>2.6</v>
      </c>
      <c r="Z46" s="14">
        <f t="shared" si="6"/>
        <v>4.6153846153846193E-3</v>
      </c>
      <c r="AA46" s="23">
        <v>2.681</v>
      </c>
      <c r="AB46" s="11">
        <v>2.7</v>
      </c>
      <c r="AC46" s="14">
        <f t="shared" si="7"/>
        <v>7.0370370370370838E-3</v>
      </c>
      <c r="AD46" s="23">
        <v>2.7570000000000001</v>
      </c>
      <c r="AE46" s="11">
        <v>2.7</v>
      </c>
      <c r="AF46" s="14">
        <f t="shared" si="8"/>
        <v>2.1111111111111087E-2</v>
      </c>
      <c r="AG46" s="24">
        <v>233</v>
      </c>
      <c r="AH46" s="6">
        <v>231</v>
      </c>
      <c r="AI46" s="15">
        <f t="shared" si="9"/>
        <v>8.658008658008658E-3</v>
      </c>
      <c r="AJ46" s="22">
        <v>269</v>
      </c>
      <c r="AK46" s="6">
        <v>267</v>
      </c>
      <c r="AL46" s="14">
        <f t="shared" si="10"/>
        <v>7.4906367041198503E-3</v>
      </c>
      <c r="AM46" s="24">
        <v>251</v>
      </c>
      <c r="AN46" s="6">
        <v>249</v>
      </c>
      <c r="AO46" s="14">
        <f t="shared" si="11"/>
        <v>8.0321285140562242E-3</v>
      </c>
      <c r="AP46" s="24">
        <v>608</v>
      </c>
      <c r="AQ46" s="6">
        <v>605</v>
      </c>
      <c r="AR46" s="14">
        <f t="shared" si="12"/>
        <v>4.9586776859504135E-3</v>
      </c>
      <c r="AS46" s="24">
        <v>626</v>
      </c>
      <c r="AT46" s="3">
        <v>624</v>
      </c>
      <c r="AU46" s="14">
        <f t="shared" si="13"/>
        <v>3.205128205128205E-3</v>
      </c>
      <c r="AV46" s="22">
        <v>645</v>
      </c>
      <c r="AW46" s="6">
        <v>643</v>
      </c>
      <c r="AX46" s="14">
        <f t="shared" si="14"/>
        <v>3.1104199066874028E-3</v>
      </c>
      <c r="AY46" s="26">
        <v>561</v>
      </c>
      <c r="AZ46" s="6">
        <v>559</v>
      </c>
      <c r="BA46" s="14">
        <f t="shared" si="15"/>
        <v>3.5778175313059034E-3</v>
      </c>
      <c r="BB46" s="27">
        <v>565</v>
      </c>
      <c r="BC46" s="6">
        <v>563</v>
      </c>
      <c r="BD46" s="14">
        <f t="shared" si="16"/>
        <v>3.552397868561279E-3</v>
      </c>
      <c r="BE46" s="24">
        <v>594</v>
      </c>
      <c r="BF46" s="6">
        <v>592</v>
      </c>
      <c r="BG46" s="14">
        <f t="shared" si="17"/>
        <v>3.3783783783783786E-3</v>
      </c>
      <c r="BH46" s="21">
        <v>0.38</v>
      </c>
      <c r="BI46" s="28">
        <v>0.38</v>
      </c>
      <c r="BJ46" s="14">
        <f t="shared" si="18"/>
        <v>0</v>
      </c>
      <c r="BK46" s="21">
        <v>0.43</v>
      </c>
      <c r="BL46" s="28">
        <v>0.42</v>
      </c>
      <c r="BM46" s="14">
        <f t="shared" si="19"/>
        <v>2.3809523809523832E-2</v>
      </c>
      <c r="BN46" s="21">
        <v>0.39</v>
      </c>
      <c r="BO46" s="28">
        <v>0.39</v>
      </c>
      <c r="BP46" s="14">
        <f t="shared" si="20"/>
        <v>0</v>
      </c>
      <c r="BQ46" s="3">
        <v>50</v>
      </c>
      <c r="BR46" s="3">
        <v>50</v>
      </c>
      <c r="BS46" s="13">
        <f t="shared" si="21"/>
        <v>0</v>
      </c>
      <c r="BT46" s="3">
        <v>50</v>
      </c>
      <c r="BU46" s="3">
        <v>50</v>
      </c>
      <c r="BV46" s="13">
        <f t="shared" si="22"/>
        <v>0</v>
      </c>
      <c r="BW46" s="3">
        <v>50</v>
      </c>
      <c r="BX46" s="3">
        <v>50</v>
      </c>
      <c r="BY46" s="13">
        <f t="shared" si="23"/>
        <v>0</v>
      </c>
      <c r="BZ46">
        <v>0.7</v>
      </c>
      <c r="CA46" s="3">
        <v>0.8</v>
      </c>
      <c r="CB46" s="14">
        <f t="shared" si="24"/>
        <v>0.12500000000000011</v>
      </c>
      <c r="CC46" s="20">
        <v>28.39</v>
      </c>
      <c r="CD46" s="10">
        <v>28.4</v>
      </c>
      <c r="CE46" s="14">
        <f t="shared" si="25"/>
        <v>3.5211267605626801E-4</v>
      </c>
    </row>
    <row r="47" spans="1:83" x14ac:dyDescent="0.35">
      <c r="A47" s="29">
        <v>46104.272465277776</v>
      </c>
      <c r="B47" s="3" t="s">
        <v>25</v>
      </c>
      <c r="C47" s="3">
        <v>60</v>
      </c>
      <c r="D47" s="3">
        <v>42</v>
      </c>
      <c r="E47" s="3">
        <v>275</v>
      </c>
      <c r="F47" s="21">
        <v>403.04</v>
      </c>
      <c r="G47" s="3">
        <v>404.47</v>
      </c>
      <c r="H47" s="14">
        <f t="shared" si="0"/>
        <v>3.5354908893119557E-3</v>
      </c>
      <c r="I47" s="22">
        <v>404.42</v>
      </c>
      <c r="J47" s="3">
        <v>403.85</v>
      </c>
      <c r="K47" s="14">
        <f t="shared" si="1"/>
        <v>1.4114151293797032E-3</v>
      </c>
      <c r="L47" s="22">
        <v>405.11</v>
      </c>
      <c r="M47" s="3">
        <v>404.96</v>
      </c>
      <c r="N47" s="14">
        <f t="shared" si="2"/>
        <v>3.7040695377329639E-4</v>
      </c>
      <c r="O47" s="22">
        <v>232.7</v>
      </c>
      <c r="P47" s="3">
        <v>232.29</v>
      </c>
      <c r="Q47" s="14">
        <f t="shared" si="3"/>
        <v>1.7650350854535133E-3</v>
      </c>
      <c r="R47" s="22">
        <v>233.5</v>
      </c>
      <c r="S47" s="3">
        <v>233.07</v>
      </c>
      <c r="T47" s="14">
        <f t="shared" si="4"/>
        <v>1.844939288625764E-3</v>
      </c>
      <c r="U47" s="22">
        <v>233.9</v>
      </c>
      <c r="V47" s="10">
        <v>232.75</v>
      </c>
      <c r="W47" s="14">
        <f t="shared" si="5"/>
        <v>4.9409237379162436E-3</v>
      </c>
      <c r="X47" s="23">
        <v>2.621</v>
      </c>
      <c r="Y47" s="11">
        <v>2.6</v>
      </c>
      <c r="Z47" s="14">
        <f t="shared" si="6"/>
        <v>8.0769230769230406E-3</v>
      </c>
      <c r="AA47" s="23">
        <v>2.6920000000000002</v>
      </c>
      <c r="AB47" s="11">
        <v>2.7</v>
      </c>
      <c r="AC47" s="14">
        <f t="shared" si="7"/>
        <v>2.9629629629629654E-3</v>
      </c>
      <c r="AD47" s="23">
        <v>2.7749999999999999</v>
      </c>
      <c r="AE47" s="11">
        <v>2.7</v>
      </c>
      <c r="AF47" s="14">
        <f t="shared" si="8"/>
        <v>2.7777777777777676E-2</v>
      </c>
      <c r="AG47" s="24">
        <v>238</v>
      </c>
      <c r="AH47" s="6">
        <v>236</v>
      </c>
      <c r="AI47" s="15">
        <f t="shared" si="9"/>
        <v>8.4745762711864406E-3</v>
      </c>
      <c r="AJ47" s="22">
        <v>275</v>
      </c>
      <c r="AK47" s="6">
        <v>273</v>
      </c>
      <c r="AL47" s="14">
        <f t="shared" si="10"/>
        <v>7.326007326007326E-3</v>
      </c>
      <c r="AM47" s="24">
        <v>260</v>
      </c>
      <c r="AN47" s="6">
        <v>258</v>
      </c>
      <c r="AO47" s="14">
        <f t="shared" si="11"/>
        <v>7.7519379844961239E-3</v>
      </c>
      <c r="AP47" s="24">
        <v>610</v>
      </c>
      <c r="AQ47" s="6">
        <v>605</v>
      </c>
      <c r="AR47" s="14">
        <f t="shared" si="12"/>
        <v>8.2644628099173556E-3</v>
      </c>
      <c r="AS47" s="24">
        <v>629</v>
      </c>
      <c r="AT47" s="3">
        <v>627</v>
      </c>
      <c r="AU47" s="14">
        <f t="shared" si="13"/>
        <v>3.189792663476874E-3</v>
      </c>
      <c r="AV47" s="22">
        <v>649</v>
      </c>
      <c r="AW47" s="6">
        <v>647</v>
      </c>
      <c r="AX47" s="14">
        <f t="shared" si="14"/>
        <v>3.0911901081916537E-3</v>
      </c>
      <c r="AY47" s="26">
        <v>561</v>
      </c>
      <c r="AZ47" s="6">
        <v>559</v>
      </c>
      <c r="BA47" s="14">
        <f t="shared" si="15"/>
        <v>3.5778175313059034E-3</v>
      </c>
      <c r="BB47" s="27">
        <v>565</v>
      </c>
      <c r="BC47" s="6">
        <v>563</v>
      </c>
      <c r="BD47" s="14">
        <f t="shared" si="16"/>
        <v>3.552397868561279E-3</v>
      </c>
      <c r="BE47" s="24">
        <v>595</v>
      </c>
      <c r="BF47" s="6">
        <v>593</v>
      </c>
      <c r="BG47" s="14">
        <f t="shared" si="17"/>
        <v>3.3726812816188868E-3</v>
      </c>
      <c r="BH47" s="21">
        <v>0.39</v>
      </c>
      <c r="BI47" s="28">
        <v>0.39</v>
      </c>
      <c r="BJ47" s="14">
        <f t="shared" si="18"/>
        <v>0</v>
      </c>
      <c r="BK47" s="21">
        <v>0.44</v>
      </c>
      <c r="BL47" s="28">
        <v>0.42</v>
      </c>
      <c r="BM47" s="14">
        <f t="shared" si="19"/>
        <v>4.7619047619047665E-2</v>
      </c>
      <c r="BN47" s="21">
        <v>0.4</v>
      </c>
      <c r="BO47" s="28">
        <v>0.39</v>
      </c>
      <c r="BP47" s="14">
        <f t="shared" si="20"/>
        <v>2.5641025641025664E-2</v>
      </c>
      <c r="BQ47" s="3">
        <v>50</v>
      </c>
      <c r="BR47" s="3">
        <v>50</v>
      </c>
      <c r="BS47" s="13">
        <f t="shared" si="21"/>
        <v>0</v>
      </c>
      <c r="BT47" s="3">
        <v>50</v>
      </c>
      <c r="BU47" s="3">
        <v>50</v>
      </c>
      <c r="BV47" s="13">
        <f t="shared" si="22"/>
        <v>0</v>
      </c>
      <c r="BW47" s="3">
        <v>50</v>
      </c>
      <c r="BX47" s="3">
        <v>50</v>
      </c>
      <c r="BY47" s="13">
        <f t="shared" si="23"/>
        <v>0</v>
      </c>
      <c r="BZ47">
        <v>0.6</v>
      </c>
      <c r="CA47" s="3">
        <v>0.8</v>
      </c>
      <c r="CB47" s="14">
        <f t="shared" si="24"/>
        <v>0.25000000000000006</v>
      </c>
      <c r="CC47" s="20">
        <v>28.37</v>
      </c>
      <c r="CD47" s="10">
        <v>28.4</v>
      </c>
      <c r="CE47" s="14">
        <f t="shared" si="25"/>
        <v>1.056338028168929E-3</v>
      </c>
    </row>
    <row r="48" spans="1:83" x14ac:dyDescent="0.35">
      <c r="A48" s="29">
        <v>46104.272465277776</v>
      </c>
      <c r="B48" s="3" t="s">
        <v>25</v>
      </c>
      <c r="C48" s="3">
        <v>60</v>
      </c>
      <c r="D48" s="3">
        <v>43</v>
      </c>
      <c r="E48" s="3">
        <v>277</v>
      </c>
      <c r="F48" s="21">
        <v>403.04</v>
      </c>
      <c r="G48" s="3">
        <v>404.47</v>
      </c>
      <c r="H48" s="14">
        <f t="shared" si="0"/>
        <v>3.5354908893119557E-3</v>
      </c>
      <c r="I48" s="22">
        <v>404.42</v>
      </c>
      <c r="J48" s="3">
        <v>403.85</v>
      </c>
      <c r="K48" s="14">
        <f t="shared" si="1"/>
        <v>1.4114151293797032E-3</v>
      </c>
      <c r="L48" s="22">
        <v>405.11</v>
      </c>
      <c r="M48" s="3">
        <v>404.96</v>
      </c>
      <c r="N48" s="14">
        <f t="shared" si="2"/>
        <v>3.7040695377329639E-4</v>
      </c>
      <c r="O48" s="22">
        <v>232.7</v>
      </c>
      <c r="P48" s="3">
        <v>232.29</v>
      </c>
      <c r="Q48" s="14">
        <f t="shared" si="3"/>
        <v>1.7650350854535133E-3</v>
      </c>
      <c r="R48" s="22">
        <v>233.5</v>
      </c>
      <c r="S48" s="3">
        <v>233.07</v>
      </c>
      <c r="T48" s="14">
        <f t="shared" si="4"/>
        <v>1.844939288625764E-3</v>
      </c>
      <c r="U48" s="22">
        <v>233.9</v>
      </c>
      <c r="V48" s="10">
        <v>232.75</v>
      </c>
      <c r="W48" s="14">
        <f t="shared" si="5"/>
        <v>4.9409237379162436E-3</v>
      </c>
      <c r="X48" s="23">
        <v>2.613</v>
      </c>
      <c r="Y48" s="11">
        <v>2.6</v>
      </c>
      <c r="Z48" s="14">
        <f t="shared" si="6"/>
        <v>4.9999999999999619E-3</v>
      </c>
      <c r="AA48" s="23">
        <v>2.6829999999999998</v>
      </c>
      <c r="AB48" s="11">
        <v>2.7</v>
      </c>
      <c r="AC48" s="14">
        <f t="shared" si="7"/>
        <v>6.2962962962964247E-3</v>
      </c>
      <c r="AD48" s="23">
        <v>2.766</v>
      </c>
      <c r="AE48" s="11">
        <v>2.7</v>
      </c>
      <c r="AF48" s="14">
        <f t="shared" si="8"/>
        <v>2.4444444444444383E-2</v>
      </c>
      <c r="AG48" s="24">
        <v>234</v>
      </c>
      <c r="AH48" s="6">
        <v>232</v>
      </c>
      <c r="AI48" s="15">
        <f t="shared" si="9"/>
        <v>8.6206896551724137E-3</v>
      </c>
      <c r="AJ48" s="22">
        <v>271</v>
      </c>
      <c r="AK48" s="6">
        <v>269</v>
      </c>
      <c r="AL48" s="14">
        <f t="shared" si="10"/>
        <v>7.4349442379182153E-3</v>
      </c>
      <c r="AM48" s="24">
        <v>256</v>
      </c>
      <c r="AN48" s="6">
        <v>254</v>
      </c>
      <c r="AO48" s="14">
        <f t="shared" si="11"/>
        <v>7.874015748031496E-3</v>
      </c>
      <c r="AP48" s="24">
        <v>608</v>
      </c>
      <c r="AQ48" s="6">
        <v>605</v>
      </c>
      <c r="AR48" s="14">
        <f t="shared" si="12"/>
        <v>4.9586776859504135E-3</v>
      </c>
      <c r="AS48" s="24">
        <v>626</v>
      </c>
      <c r="AT48" s="3">
        <v>624</v>
      </c>
      <c r="AU48" s="14">
        <f t="shared" si="13"/>
        <v>3.205128205128205E-3</v>
      </c>
      <c r="AV48" s="22">
        <v>647</v>
      </c>
      <c r="AW48" s="6">
        <v>645</v>
      </c>
      <c r="AX48" s="14">
        <f t="shared" si="14"/>
        <v>3.1007751937984496E-3</v>
      </c>
      <c r="AY48" s="26">
        <v>561</v>
      </c>
      <c r="AZ48" s="6">
        <v>559</v>
      </c>
      <c r="BA48" s="14">
        <f t="shared" si="15"/>
        <v>3.5778175313059034E-3</v>
      </c>
      <c r="BB48" s="27">
        <v>565</v>
      </c>
      <c r="BC48" s="6">
        <v>563</v>
      </c>
      <c r="BD48" s="14">
        <f t="shared" si="16"/>
        <v>3.552397868561279E-3</v>
      </c>
      <c r="BE48" s="24">
        <v>594</v>
      </c>
      <c r="BF48" s="6">
        <v>592</v>
      </c>
      <c r="BG48" s="14">
        <f t="shared" si="17"/>
        <v>3.3783783783783786E-3</v>
      </c>
      <c r="BH48" s="21">
        <v>0.39</v>
      </c>
      <c r="BI48" s="28">
        <v>0.39</v>
      </c>
      <c r="BJ48" s="14">
        <f t="shared" si="18"/>
        <v>0</v>
      </c>
      <c r="BK48" s="21">
        <v>0.43</v>
      </c>
      <c r="BL48" s="28">
        <v>0.43</v>
      </c>
      <c r="BM48" s="14">
        <f t="shared" si="19"/>
        <v>0</v>
      </c>
      <c r="BN48" s="21">
        <v>0.4</v>
      </c>
      <c r="BO48" s="28">
        <v>0.39</v>
      </c>
      <c r="BP48" s="14">
        <f t="shared" si="20"/>
        <v>2.5641025641025664E-2</v>
      </c>
      <c r="BQ48" s="3">
        <v>50</v>
      </c>
      <c r="BR48" s="3">
        <v>50</v>
      </c>
      <c r="BS48" s="13">
        <f t="shared" si="21"/>
        <v>0</v>
      </c>
      <c r="BT48" s="3">
        <v>50</v>
      </c>
      <c r="BU48" s="3">
        <v>50</v>
      </c>
      <c r="BV48" s="13">
        <f t="shared" si="22"/>
        <v>0</v>
      </c>
      <c r="BW48" s="3">
        <v>50</v>
      </c>
      <c r="BX48" s="3">
        <v>50</v>
      </c>
      <c r="BY48" s="13">
        <f t="shared" si="23"/>
        <v>0</v>
      </c>
      <c r="BZ48">
        <v>0.3</v>
      </c>
      <c r="CA48" s="3">
        <v>0.4</v>
      </c>
      <c r="CB48" s="14">
        <f t="shared" si="24"/>
        <v>0.25000000000000006</v>
      </c>
      <c r="CC48" s="20">
        <v>28.31</v>
      </c>
      <c r="CD48" s="10">
        <v>28.4</v>
      </c>
      <c r="CE48" s="14">
        <f t="shared" si="25"/>
        <v>3.1690140845070376E-3</v>
      </c>
    </row>
    <row r="49" spans="1:83" x14ac:dyDescent="0.35">
      <c r="A49" s="29">
        <v>46104.272465277776</v>
      </c>
      <c r="B49" s="3" t="s">
        <v>25</v>
      </c>
      <c r="C49" s="3">
        <v>60</v>
      </c>
      <c r="D49" s="3">
        <v>44</v>
      </c>
      <c r="E49" s="3">
        <v>280</v>
      </c>
      <c r="F49" s="21">
        <v>403.04</v>
      </c>
      <c r="G49" s="3">
        <v>404.47</v>
      </c>
      <c r="H49" s="14">
        <f t="shared" si="0"/>
        <v>3.5354908893119557E-3</v>
      </c>
      <c r="I49" s="22">
        <v>404.42</v>
      </c>
      <c r="J49" s="3">
        <v>403.85</v>
      </c>
      <c r="K49" s="14">
        <f t="shared" si="1"/>
        <v>1.4114151293797032E-3</v>
      </c>
      <c r="L49" s="22">
        <v>405.11</v>
      </c>
      <c r="M49" s="3">
        <v>404.96</v>
      </c>
      <c r="N49" s="14">
        <f t="shared" si="2"/>
        <v>3.7040695377329639E-4</v>
      </c>
      <c r="O49" s="22">
        <v>232.7</v>
      </c>
      <c r="P49" s="3">
        <v>232.29</v>
      </c>
      <c r="Q49" s="14">
        <f t="shared" si="3"/>
        <v>1.7650350854535133E-3</v>
      </c>
      <c r="R49" s="22">
        <v>233.5</v>
      </c>
      <c r="S49" s="3">
        <v>232.97</v>
      </c>
      <c r="T49" s="14">
        <f t="shared" si="4"/>
        <v>2.2749710263124056E-3</v>
      </c>
      <c r="U49" s="22">
        <v>233.9</v>
      </c>
      <c r="V49" s="10">
        <v>232.75</v>
      </c>
      <c r="W49" s="14">
        <f t="shared" si="5"/>
        <v>4.9409237379162436E-3</v>
      </c>
      <c r="X49" s="23">
        <v>2.6080000000000001</v>
      </c>
      <c r="Y49" s="11">
        <v>2.6</v>
      </c>
      <c r="Z49" s="14">
        <f t="shared" si="6"/>
        <v>3.0769230769230795E-3</v>
      </c>
      <c r="AA49" s="23">
        <v>2.6760000000000002</v>
      </c>
      <c r="AB49" s="11">
        <v>2.7</v>
      </c>
      <c r="AC49" s="14">
        <f t="shared" si="7"/>
        <v>8.8888888888888958E-3</v>
      </c>
      <c r="AD49" s="23">
        <v>2.7519999999999998</v>
      </c>
      <c r="AE49" s="11">
        <v>2.7</v>
      </c>
      <c r="AF49" s="14">
        <f t="shared" si="8"/>
        <v>1.9259259259259112E-2</v>
      </c>
      <c r="AG49" s="24">
        <v>231</v>
      </c>
      <c r="AH49" s="6">
        <v>229</v>
      </c>
      <c r="AI49" s="15">
        <f t="shared" si="9"/>
        <v>8.7336244541484712E-3</v>
      </c>
      <c r="AJ49" s="22">
        <v>267</v>
      </c>
      <c r="AK49" s="6">
        <v>266</v>
      </c>
      <c r="AL49" s="14">
        <f t="shared" si="10"/>
        <v>3.7593984962406013E-3</v>
      </c>
      <c r="AM49" s="24">
        <v>249</v>
      </c>
      <c r="AN49" s="6">
        <v>247</v>
      </c>
      <c r="AO49" s="14">
        <f t="shared" si="11"/>
        <v>8.0971659919028341E-3</v>
      </c>
      <c r="AP49" s="24">
        <v>607</v>
      </c>
      <c r="AQ49" s="6">
        <v>605</v>
      </c>
      <c r="AR49" s="14">
        <f t="shared" si="12"/>
        <v>3.3057851239669421E-3</v>
      </c>
      <c r="AS49" s="24">
        <v>625</v>
      </c>
      <c r="AT49" s="3">
        <v>623</v>
      </c>
      <c r="AU49" s="14">
        <f t="shared" si="13"/>
        <v>3.2102728731942215E-3</v>
      </c>
      <c r="AV49" s="22">
        <v>644</v>
      </c>
      <c r="AW49" s="6">
        <v>642</v>
      </c>
      <c r="AX49" s="14">
        <f t="shared" si="14"/>
        <v>3.1152647975077881E-3</v>
      </c>
      <c r="AY49" s="26">
        <v>561</v>
      </c>
      <c r="AZ49" s="6">
        <v>559</v>
      </c>
      <c r="BA49" s="14">
        <f t="shared" si="15"/>
        <v>3.5778175313059034E-3</v>
      </c>
      <c r="BB49" s="27">
        <v>565</v>
      </c>
      <c r="BC49" s="6">
        <v>563</v>
      </c>
      <c r="BD49" s="14">
        <f t="shared" si="16"/>
        <v>3.552397868561279E-3</v>
      </c>
      <c r="BE49" s="24">
        <v>594</v>
      </c>
      <c r="BF49" s="6">
        <v>592</v>
      </c>
      <c r="BG49" s="14">
        <f t="shared" si="17"/>
        <v>3.3783783783783786E-3</v>
      </c>
      <c r="BH49" s="21">
        <v>0.38</v>
      </c>
      <c r="BI49" s="28">
        <v>0.38</v>
      </c>
      <c r="BJ49" s="14">
        <f t="shared" si="18"/>
        <v>0</v>
      </c>
      <c r="BK49" s="21">
        <v>0.43</v>
      </c>
      <c r="BL49" s="28">
        <v>0.43</v>
      </c>
      <c r="BM49" s="14">
        <f t="shared" si="19"/>
        <v>0</v>
      </c>
      <c r="BN49" s="21">
        <v>0.39</v>
      </c>
      <c r="BO49" s="28">
        <v>0.39</v>
      </c>
      <c r="BP49" s="14">
        <f t="shared" si="20"/>
        <v>0</v>
      </c>
      <c r="BQ49" s="3">
        <v>50</v>
      </c>
      <c r="BR49" s="3">
        <v>50</v>
      </c>
      <c r="BS49" s="13">
        <f t="shared" si="21"/>
        <v>0</v>
      </c>
      <c r="BT49" s="3">
        <v>50</v>
      </c>
      <c r="BU49" s="3">
        <v>50</v>
      </c>
      <c r="BV49" s="13">
        <f t="shared" si="22"/>
        <v>0</v>
      </c>
      <c r="BW49" s="3">
        <v>50</v>
      </c>
      <c r="BX49" s="3">
        <v>50</v>
      </c>
      <c r="BY49" s="13">
        <f t="shared" si="23"/>
        <v>0</v>
      </c>
      <c r="BZ49">
        <v>0.4</v>
      </c>
      <c r="CA49" s="3">
        <v>0.4</v>
      </c>
      <c r="CB49" s="14">
        <f t="shared" si="24"/>
        <v>0</v>
      </c>
      <c r="CC49" s="20">
        <v>28.45</v>
      </c>
      <c r="CD49" s="10">
        <v>28.4</v>
      </c>
      <c r="CE49" s="14">
        <f t="shared" si="25"/>
        <v>1.7605633802817153E-3</v>
      </c>
    </row>
    <row r="50" spans="1:83" x14ac:dyDescent="0.35">
      <c r="A50" s="29">
        <v>46104.272465277776</v>
      </c>
      <c r="B50" s="3" t="s">
        <v>25</v>
      </c>
      <c r="C50" s="3">
        <v>60</v>
      </c>
      <c r="D50" s="3">
        <v>45</v>
      </c>
      <c r="E50" s="3">
        <v>282</v>
      </c>
      <c r="F50" s="21">
        <v>403.21</v>
      </c>
      <c r="G50" s="3">
        <v>404.47</v>
      </c>
      <c r="H50" s="14">
        <f t="shared" si="0"/>
        <v>3.1151877765966517E-3</v>
      </c>
      <c r="I50" s="22">
        <v>404.42</v>
      </c>
      <c r="J50" s="3">
        <v>403.85</v>
      </c>
      <c r="K50" s="14">
        <f t="shared" si="1"/>
        <v>1.4114151293797032E-3</v>
      </c>
      <c r="L50" s="22">
        <v>405.11</v>
      </c>
      <c r="M50" s="3">
        <v>404.76</v>
      </c>
      <c r="N50" s="14">
        <f t="shared" si="2"/>
        <v>8.6470995157629895E-4</v>
      </c>
      <c r="O50" s="22">
        <v>232.8</v>
      </c>
      <c r="P50" s="3">
        <v>232.29</v>
      </c>
      <c r="Q50" s="14">
        <f t="shared" si="3"/>
        <v>2.1955314477593497E-3</v>
      </c>
      <c r="R50" s="22">
        <v>233.5</v>
      </c>
      <c r="S50" s="3">
        <v>232.97</v>
      </c>
      <c r="T50" s="14">
        <f t="shared" si="4"/>
        <v>2.2749710263124056E-3</v>
      </c>
      <c r="U50" s="22">
        <v>233.9</v>
      </c>
      <c r="V50" s="10">
        <v>232.75</v>
      </c>
      <c r="W50" s="14">
        <f t="shared" si="5"/>
        <v>4.9409237379162436E-3</v>
      </c>
      <c r="X50" s="23">
        <v>2.609</v>
      </c>
      <c r="Y50" s="11">
        <v>2.6</v>
      </c>
      <c r="Z50" s="14">
        <f t="shared" si="6"/>
        <v>3.4615384615384217E-3</v>
      </c>
      <c r="AA50" s="23">
        <v>2.6760000000000002</v>
      </c>
      <c r="AB50" s="11">
        <v>2.7</v>
      </c>
      <c r="AC50" s="14">
        <f t="shared" si="7"/>
        <v>8.8888888888888958E-3</v>
      </c>
      <c r="AD50" s="23">
        <v>2.7509999999999999</v>
      </c>
      <c r="AE50" s="11">
        <v>2.7</v>
      </c>
      <c r="AF50" s="14">
        <f t="shared" si="8"/>
        <v>1.8888888888888782E-2</v>
      </c>
      <c r="AG50" s="24">
        <v>229</v>
      </c>
      <c r="AH50" s="6">
        <v>227</v>
      </c>
      <c r="AI50" s="15">
        <f t="shared" si="9"/>
        <v>8.8105726872246704E-3</v>
      </c>
      <c r="AJ50" s="22">
        <v>264</v>
      </c>
      <c r="AK50" s="6">
        <v>262</v>
      </c>
      <c r="AL50" s="14">
        <f t="shared" si="10"/>
        <v>7.6335877862595417E-3</v>
      </c>
      <c r="AM50" s="24">
        <v>247</v>
      </c>
      <c r="AN50" s="6">
        <v>245</v>
      </c>
      <c r="AO50" s="14">
        <f t="shared" si="11"/>
        <v>8.1632653061224497E-3</v>
      </c>
      <c r="AP50" s="24">
        <v>607</v>
      </c>
      <c r="AQ50" s="6">
        <v>605</v>
      </c>
      <c r="AR50" s="14">
        <f t="shared" si="12"/>
        <v>3.3057851239669421E-3</v>
      </c>
      <c r="AS50" s="24">
        <v>625</v>
      </c>
      <c r="AT50" s="3">
        <v>623</v>
      </c>
      <c r="AU50" s="14">
        <f t="shared" si="13"/>
        <v>3.2102728731942215E-3</v>
      </c>
      <c r="AV50" s="22">
        <v>643</v>
      </c>
      <c r="AW50" s="6">
        <v>641</v>
      </c>
      <c r="AX50" s="14">
        <f t="shared" si="14"/>
        <v>3.1201248049921998E-3</v>
      </c>
      <c r="AY50" s="26">
        <v>563</v>
      </c>
      <c r="AZ50" s="6">
        <v>561</v>
      </c>
      <c r="BA50" s="14">
        <f t="shared" si="15"/>
        <v>3.5650623885918001E-3</v>
      </c>
      <c r="BB50" s="27">
        <v>566</v>
      </c>
      <c r="BC50" s="6">
        <v>564</v>
      </c>
      <c r="BD50" s="14">
        <f t="shared" si="16"/>
        <v>3.5460992907801418E-3</v>
      </c>
      <c r="BE50" s="24">
        <v>594</v>
      </c>
      <c r="BF50" s="6">
        <v>592</v>
      </c>
      <c r="BG50" s="14">
        <f t="shared" si="17"/>
        <v>3.3783783783783786E-3</v>
      </c>
      <c r="BH50" s="21">
        <v>0.38</v>
      </c>
      <c r="BI50" s="28">
        <v>0.38</v>
      </c>
      <c r="BJ50" s="14">
        <f t="shared" si="18"/>
        <v>0</v>
      </c>
      <c r="BK50" s="21">
        <v>0.42</v>
      </c>
      <c r="BL50" s="28">
        <v>0.42</v>
      </c>
      <c r="BM50" s="14">
        <f t="shared" si="19"/>
        <v>0</v>
      </c>
      <c r="BN50" s="21">
        <v>0.38</v>
      </c>
      <c r="BO50" s="28">
        <v>0.38</v>
      </c>
      <c r="BP50" s="14">
        <f t="shared" si="20"/>
        <v>0</v>
      </c>
      <c r="BQ50" s="3">
        <v>50</v>
      </c>
      <c r="BR50" s="3">
        <v>50</v>
      </c>
      <c r="BS50" s="13">
        <f t="shared" si="21"/>
        <v>0</v>
      </c>
      <c r="BT50" s="3">
        <v>50</v>
      </c>
      <c r="BU50" s="3">
        <v>50</v>
      </c>
      <c r="BV50" s="13">
        <f t="shared" si="22"/>
        <v>0</v>
      </c>
      <c r="BW50" s="3">
        <v>50</v>
      </c>
      <c r="BX50" s="3">
        <v>50</v>
      </c>
      <c r="BY50" s="13">
        <f t="shared" si="23"/>
        <v>0</v>
      </c>
      <c r="BZ50">
        <v>0.4</v>
      </c>
      <c r="CA50" s="3">
        <v>0.4</v>
      </c>
      <c r="CB50" s="14">
        <f t="shared" si="24"/>
        <v>0</v>
      </c>
      <c r="CC50" s="20">
        <v>28.37</v>
      </c>
      <c r="CD50" s="10">
        <v>28.4</v>
      </c>
      <c r="CE50" s="14">
        <f t="shared" si="25"/>
        <v>1.056338028168929E-3</v>
      </c>
    </row>
    <row r="51" spans="1:83" x14ac:dyDescent="0.35">
      <c r="A51" s="29">
        <v>46104.272465277776</v>
      </c>
      <c r="B51" s="3" t="s">
        <v>25</v>
      </c>
      <c r="C51" s="3">
        <v>60</v>
      </c>
      <c r="D51" s="3">
        <v>46</v>
      </c>
      <c r="E51" s="3">
        <v>284</v>
      </c>
      <c r="F51" s="21">
        <v>403.21</v>
      </c>
      <c r="G51" s="3">
        <v>404.47</v>
      </c>
      <c r="H51" s="14">
        <f t="shared" si="0"/>
        <v>3.1151877765966517E-3</v>
      </c>
      <c r="I51" s="22">
        <v>404.08</v>
      </c>
      <c r="J51" s="3">
        <v>403.85</v>
      </c>
      <c r="K51" s="14">
        <f t="shared" si="1"/>
        <v>5.6951838553908956E-4</v>
      </c>
      <c r="L51" s="22">
        <v>404.6</v>
      </c>
      <c r="M51" s="3">
        <v>404.76</v>
      </c>
      <c r="N51" s="14">
        <f t="shared" si="2"/>
        <v>3.952959778633466E-4</v>
      </c>
      <c r="O51" s="22">
        <v>232</v>
      </c>
      <c r="P51" s="3">
        <v>232.29</v>
      </c>
      <c r="Q51" s="14">
        <f t="shared" si="3"/>
        <v>1.2484394506866075E-3</v>
      </c>
      <c r="R51" s="22">
        <v>233.3</v>
      </c>
      <c r="S51" s="3">
        <v>232.97</v>
      </c>
      <c r="T51" s="14">
        <f t="shared" si="4"/>
        <v>1.4164913937417371E-3</v>
      </c>
      <c r="U51" s="22">
        <v>233.6</v>
      </c>
      <c r="V51" s="10">
        <v>232.75</v>
      </c>
      <c r="W51" s="14">
        <f t="shared" si="5"/>
        <v>3.6519871106337029E-3</v>
      </c>
      <c r="X51" s="23">
        <v>2.6030000000000002</v>
      </c>
      <c r="Y51" s="11">
        <v>2.6</v>
      </c>
      <c r="Z51" s="14">
        <f t="shared" si="6"/>
        <v>1.1538461538461975E-3</v>
      </c>
      <c r="AA51" s="23">
        <v>2.6669999999999998</v>
      </c>
      <c r="AB51" s="11">
        <v>2.7</v>
      </c>
      <c r="AC51" s="14">
        <f t="shared" si="7"/>
        <v>1.2222222222222356E-2</v>
      </c>
      <c r="AD51" s="23">
        <v>2.7410000000000001</v>
      </c>
      <c r="AE51" s="11">
        <v>2.7</v>
      </c>
      <c r="AF51" s="14">
        <f t="shared" si="8"/>
        <v>1.5185185185185156E-2</v>
      </c>
      <c r="AG51" s="24">
        <v>222</v>
      </c>
      <c r="AH51" s="6">
        <v>220</v>
      </c>
      <c r="AI51" s="15">
        <f t="shared" si="9"/>
        <v>9.0909090909090905E-3</v>
      </c>
      <c r="AJ51" s="24">
        <v>263</v>
      </c>
      <c r="AK51" s="6">
        <v>261</v>
      </c>
      <c r="AL51" s="14">
        <f t="shared" si="10"/>
        <v>7.6628352490421452E-3</v>
      </c>
      <c r="AM51" s="24">
        <v>247</v>
      </c>
      <c r="AN51" s="6">
        <v>245</v>
      </c>
      <c r="AO51" s="14">
        <f t="shared" si="11"/>
        <v>8.1632653061224497E-3</v>
      </c>
      <c r="AP51" s="24">
        <v>588</v>
      </c>
      <c r="AQ51" s="6">
        <v>586</v>
      </c>
      <c r="AR51" s="14">
        <f t="shared" si="12"/>
        <v>3.4129692832764505E-3</v>
      </c>
      <c r="AS51" s="24">
        <v>622</v>
      </c>
      <c r="AT51" s="3">
        <v>620</v>
      </c>
      <c r="AU51" s="14">
        <f t="shared" si="13"/>
        <v>3.2258064516129032E-3</v>
      </c>
      <c r="AV51" s="22">
        <v>640</v>
      </c>
      <c r="AW51" s="6">
        <v>638</v>
      </c>
      <c r="AX51" s="14">
        <f t="shared" si="14"/>
        <v>3.134796238244514E-3</v>
      </c>
      <c r="AY51" s="26">
        <v>545</v>
      </c>
      <c r="AZ51" s="6">
        <v>543</v>
      </c>
      <c r="BA51" s="14">
        <f t="shared" si="15"/>
        <v>3.6832412523020259E-3</v>
      </c>
      <c r="BB51" s="27">
        <v>564</v>
      </c>
      <c r="BC51" s="6">
        <v>562</v>
      </c>
      <c r="BD51" s="14">
        <f t="shared" si="16"/>
        <v>3.5587188612099642E-3</v>
      </c>
      <c r="BE51" s="24">
        <v>591</v>
      </c>
      <c r="BF51" s="6">
        <v>589</v>
      </c>
      <c r="BG51" s="14">
        <f t="shared" si="17"/>
        <v>3.3955857385398981E-3</v>
      </c>
      <c r="BH51" s="21">
        <v>0.38</v>
      </c>
      <c r="BI51" s="28">
        <v>0.38</v>
      </c>
      <c r="BJ51" s="14">
        <f t="shared" si="18"/>
        <v>0</v>
      </c>
      <c r="BK51" s="21">
        <v>0.42</v>
      </c>
      <c r="BL51" s="28">
        <v>0.42</v>
      </c>
      <c r="BM51" s="14">
        <f t="shared" si="19"/>
        <v>0</v>
      </c>
      <c r="BN51" s="21">
        <v>0.39</v>
      </c>
      <c r="BO51" s="28">
        <v>0.39</v>
      </c>
      <c r="BP51" s="14">
        <f t="shared" si="20"/>
        <v>0</v>
      </c>
      <c r="BQ51" s="3">
        <v>50</v>
      </c>
      <c r="BR51" s="3">
        <v>50</v>
      </c>
      <c r="BS51" s="13">
        <f t="shared" si="21"/>
        <v>0</v>
      </c>
      <c r="BT51" s="3">
        <v>50</v>
      </c>
      <c r="BU51" s="3">
        <v>50</v>
      </c>
      <c r="BV51" s="13">
        <f t="shared" si="22"/>
        <v>0</v>
      </c>
      <c r="BW51" s="3">
        <v>50</v>
      </c>
      <c r="BX51" s="3">
        <v>50</v>
      </c>
      <c r="BY51" s="13">
        <f t="shared" si="23"/>
        <v>0</v>
      </c>
      <c r="BZ51">
        <v>0.3</v>
      </c>
      <c r="CA51" s="3">
        <v>0.4</v>
      </c>
      <c r="CB51" s="14">
        <f t="shared" si="24"/>
        <v>0.25000000000000006</v>
      </c>
      <c r="CC51" s="20">
        <v>28.39</v>
      </c>
      <c r="CD51" s="10">
        <v>28.4</v>
      </c>
      <c r="CE51" s="14">
        <f t="shared" si="25"/>
        <v>3.5211267605626801E-4</v>
      </c>
    </row>
    <row r="52" spans="1:83" x14ac:dyDescent="0.35">
      <c r="A52" s="29">
        <v>46104.272465277776</v>
      </c>
      <c r="B52" s="3" t="s">
        <v>25</v>
      </c>
      <c r="C52" s="3">
        <v>60</v>
      </c>
      <c r="D52" s="3">
        <v>47</v>
      </c>
      <c r="E52" s="3">
        <v>286</v>
      </c>
      <c r="F52" s="21">
        <v>402.86</v>
      </c>
      <c r="G52" s="3">
        <v>404.47</v>
      </c>
      <c r="H52" s="14">
        <f t="shared" si="0"/>
        <v>3.9805177145400489E-3</v>
      </c>
      <c r="I52" s="22">
        <v>404.25</v>
      </c>
      <c r="J52" s="3">
        <v>403.85</v>
      </c>
      <c r="K52" s="14">
        <f t="shared" si="1"/>
        <v>9.9046675745939638E-4</v>
      </c>
      <c r="L52" s="22">
        <v>404.77</v>
      </c>
      <c r="M52" s="3">
        <v>404.76</v>
      </c>
      <c r="N52" s="14">
        <f t="shared" si="2"/>
        <v>2.4705998616441609E-5</v>
      </c>
      <c r="O52" s="22">
        <v>232.6</v>
      </c>
      <c r="P52" s="3">
        <v>232.29</v>
      </c>
      <c r="Q52" s="14">
        <f t="shared" si="3"/>
        <v>1.3345387231477992E-3</v>
      </c>
      <c r="R52" s="22">
        <v>233.4</v>
      </c>
      <c r="S52" s="3">
        <v>232.97</v>
      </c>
      <c r="T52" s="14">
        <f t="shared" si="4"/>
        <v>1.8457312100270714E-3</v>
      </c>
      <c r="U52" s="22">
        <v>233.7</v>
      </c>
      <c r="V52" s="10">
        <v>232.75</v>
      </c>
      <c r="W52" s="14">
        <f t="shared" si="5"/>
        <v>4.0816326530611754E-3</v>
      </c>
      <c r="X52" s="23">
        <v>2.605</v>
      </c>
      <c r="Y52" s="11">
        <v>2.6</v>
      </c>
      <c r="Z52" s="14">
        <f t="shared" si="6"/>
        <v>1.923076923076882E-3</v>
      </c>
      <c r="AA52" s="23">
        <v>2.669</v>
      </c>
      <c r="AB52" s="11">
        <v>2.7</v>
      </c>
      <c r="AC52" s="14">
        <f t="shared" si="7"/>
        <v>1.1481481481481532E-2</v>
      </c>
      <c r="AD52" s="23">
        <v>2.7429999999999999</v>
      </c>
      <c r="AE52" s="11">
        <v>2.7</v>
      </c>
      <c r="AF52" s="14">
        <f t="shared" si="8"/>
        <v>1.5925925925925816E-2</v>
      </c>
      <c r="AG52" s="24">
        <v>228</v>
      </c>
      <c r="AH52" s="6">
        <v>226</v>
      </c>
      <c r="AI52" s="15">
        <f t="shared" si="9"/>
        <v>8.8495575221238937E-3</v>
      </c>
      <c r="AJ52" s="24">
        <v>262</v>
      </c>
      <c r="AK52" s="6">
        <v>260</v>
      </c>
      <c r="AL52" s="14">
        <f t="shared" si="10"/>
        <v>7.6923076923076927E-3</v>
      </c>
      <c r="AM52" s="24">
        <v>245</v>
      </c>
      <c r="AN52" s="6">
        <v>243</v>
      </c>
      <c r="AO52" s="14">
        <f t="shared" si="11"/>
        <v>8.23045267489712E-3</v>
      </c>
      <c r="AP52" s="24">
        <v>606</v>
      </c>
      <c r="AQ52" s="6">
        <v>604</v>
      </c>
      <c r="AR52" s="14">
        <f t="shared" si="12"/>
        <v>3.3112582781456954E-3</v>
      </c>
      <c r="AS52" s="24">
        <v>623</v>
      </c>
      <c r="AT52" s="3">
        <v>621</v>
      </c>
      <c r="AU52" s="14">
        <f t="shared" si="13"/>
        <v>3.2206119162640902E-3</v>
      </c>
      <c r="AV52" s="22">
        <v>641</v>
      </c>
      <c r="AW52" s="6">
        <v>639</v>
      </c>
      <c r="AX52" s="14">
        <f t="shared" si="14"/>
        <v>3.1298904538341159E-3</v>
      </c>
      <c r="AY52" s="26">
        <v>561</v>
      </c>
      <c r="AZ52" s="6">
        <v>559</v>
      </c>
      <c r="BA52" s="14">
        <f t="shared" si="15"/>
        <v>3.5778175313059034E-3</v>
      </c>
      <c r="BB52" s="27">
        <v>565</v>
      </c>
      <c r="BC52" s="6">
        <v>563</v>
      </c>
      <c r="BD52" s="14">
        <f t="shared" si="16"/>
        <v>3.552397868561279E-3</v>
      </c>
      <c r="BE52" s="24">
        <v>592</v>
      </c>
      <c r="BF52" s="6">
        <v>590</v>
      </c>
      <c r="BG52" s="14">
        <f t="shared" si="17"/>
        <v>3.3898305084745762E-3</v>
      </c>
      <c r="BH52" s="21">
        <v>0.38</v>
      </c>
      <c r="BI52" s="28">
        <v>0.38</v>
      </c>
      <c r="BJ52" s="14">
        <f t="shared" si="18"/>
        <v>0</v>
      </c>
      <c r="BK52" s="21">
        <v>0.42</v>
      </c>
      <c r="BL52" s="28">
        <v>0.42</v>
      </c>
      <c r="BM52" s="14">
        <f t="shared" si="19"/>
        <v>0</v>
      </c>
      <c r="BN52" s="21">
        <v>0.38</v>
      </c>
      <c r="BO52" s="28">
        <v>0.38</v>
      </c>
      <c r="BP52" s="14">
        <f t="shared" si="20"/>
        <v>0</v>
      </c>
      <c r="BQ52" s="3">
        <v>50</v>
      </c>
      <c r="BR52" s="3">
        <v>50</v>
      </c>
      <c r="BS52" s="13">
        <f t="shared" si="21"/>
        <v>0</v>
      </c>
      <c r="BT52" s="3">
        <v>50</v>
      </c>
      <c r="BU52" s="3">
        <v>50</v>
      </c>
      <c r="BV52" s="13">
        <f t="shared" si="22"/>
        <v>0</v>
      </c>
      <c r="BW52" s="3">
        <v>50</v>
      </c>
      <c r="BX52" s="3">
        <v>50</v>
      </c>
      <c r="BY52" s="13">
        <f t="shared" si="23"/>
        <v>0</v>
      </c>
      <c r="BZ52">
        <v>0.7</v>
      </c>
      <c r="CA52" s="3">
        <v>0.7</v>
      </c>
      <c r="CB52" s="14">
        <f t="shared" si="24"/>
        <v>0</v>
      </c>
      <c r="CC52" s="20">
        <v>28.37</v>
      </c>
      <c r="CD52" s="10">
        <v>28.4</v>
      </c>
      <c r="CE52" s="14">
        <f t="shared" si="25"/>
        <v>1.056338028168929E-3</v>
      </c>
    </row>
    <row r="53" spans="1:83" x14ac:dyDescent="0.35">
      <c r="A53" s="29">
        <v>46104.272465277776</v>
      </c>
      <c r="B53" s="3" t="s">
        <v>25</v>
      </c>
      <c r="C53" s="3">
        <v>60</v>
      </c>
      <c r="D53" s="3">
        <v>48</v>
      </c>
      <c r="E53" s="3">
        <v>288</v>
      </c>
      <c r="F53" s="21">
        <v>402.86</v>
      </c>
      <c r="G53" s="3">
        <v>404.47</v>
      </c>
      <c r="H53" s="14">
        <f t="shared" si="0"/>
        <v>3.9805177145400489E-3</v>
      </c>
      <c r="I53" s="22">
        <v>404.25</v>
      </c>
      <c r="J53" s="3">
        <v>403.85</v>
      </c>
      <c r="K53" s="14">
        <f t="shared" si="1"/>
        <v>9.9046675745939638E-4</v>
      </c>
      <c r="L53" s="22">
        <v>404.77</v>
      </c>
      <c r="M53" s="3">
        <v>404.76</v>
      </c>
      <c r="N53" s="14">
        <f t="shared" si="2"/>
        <v>2.4705998616441609E-5</v>
      </c>
      <c r="O53" s="22">
        <v>232.6</v>
      </c>
      <c r="P53" s="3">
        <v>232.29</v>
      </c>
      <c r="Q53" s="14">
        <f t="shared" si="3"/>
        <v>1.3345387231477992E-3</v>
      </c>
      <c r="R53" s="22">
        <v>233.4</v>
      </c>
      <c r="S53" s="3">
        <v>232.97</v>
      </c>
      <c r="T53" s="14">
        <f t="shared" si="4"/>
        <v>1.8457312100270714E-3</v>
      </c>
      <c r="U53" s="22">
        <v>233.7</v>
      </c>
      <c r="V53" s="10">
        <v>232.72</v>
      </c>
      <c r="W53" s="14">
        <f t="shared" si="5"/>
        <v>4.2110690959092029E-3</v>
      </c>
      <c r="X53" s="23">
        <v>2.6040000000000001</v>
      </c>
      <c r="Y53" s="11">
        <v>2.6</v>
      </c>
      <c r="Z53" s="14">
        <f t="shared" si="6"/>
        <v>1.5384615384615398E-3</v>
      </c>
      <c r="AA53" s="23">
        <v>2.6680000000000001</v>
      </c>
      <c r="AB53" s="11">
        <v>2.7</v>
      </c>
      <c r="AC53" s="14">
        <f t="shared" si="7"/>
        <v>1.1851851851851862E-2</v>
      </c>
      <c r="AD53" s="23">
        <v>2.742</v>
      </c>
      <c r="AE53" s="11">
        <v>2.7</v>
      </c>
      <c r="AF53" s="14">
        <f t="shared" si="8"/>
        <v>1.5555555555555486E-2</v>
      </c>
      <c r="AG53" s="24">
        <v>228</v>
      </c>
      <c r="AH53" s="6">
        <v>226</v>
      </c>
      <c r="AI53" s="15">
        <f t="shared" si="9"/>
        <v>8.8495575221238937E-3</v>
      </c>
      <c r="AJ53" s="22">
        <v>262</v>
      </c>
      <c r="AK53" s="6">
        <v>260</v>
      </c>
      <c r="AL53" s="14">
        <f t="shared" si="10"/>
        <v>7.6923076923076927E-3</v>
      </c>
      <c r="AM53" s="24">
        <v>245</v>
      </c>
      <c r="AN53" s="6">
        <v>243</v>
      </c>
      <c r="AO53" s="14">
        <f t="shared" si="11"/>
        <v>8.23045267489712E-3</v>
      </c>
      <c r="AP53" s="24">
        <v>606</v>
      </c>
      <c r="AQ53" s="6">
        <v>604</v>
      </c>
      <c r="AR53" s="14">
        <f t="shared" si="12"/>
        <v>3.3112582781456954E-3</v>
      </c>
      <c r="AS53" s="24">
        <v>623</v>
      </c>
      <c r="AT53" s="3">
        <v>621</v>
      </c>
      <c r="AU53" s="14">
        <f t="shared" si="13"/>
        <v>3.2206119162640902E-3</v>
      </c>
      <c r="AV53" s="22">
        <v>641</v>
      </c>
      <c r="AW53" s="6">
        <v>639</v>
      </c>
      <c r="AX53" s="14">
        <f t="shared" si="14"/>
        <v>3.1298904538341159E-3</v>
      </c>
      <c r="AY53" s="26">
        <v>561</v>
      </c>
      <c r="AZ53" s="6">
        <v>559</v>
      </c>
      <c r="BA53" s="14">
        <f t="shared" si="15"/>
        <v>3.5778175313059034E-3</v>
      </c>
      <c r="BB53" s="27">
        <v>565</v>
      </c>
      <c r="BC53" s="6">
        <v>563</v>
      </c>
      <c r="BD53" s="14">
        <f t="shared" si="16"/>
        <v>3.552397868561279E-3</v>
      </c>
      <c r="BE53" s="24">
        <v>592</v>
      </c>
      <c r="BF53" s="6">
        <v>590</v>
      </c>
      <c r="BG53" s="14">
        <f t="shared" si="17"/>
        <v>3.3898305084745762E-3</v>
      </c>
      <c r="BH53" s="21">
        <v>0.38</v>
      </c>
      <c r="BI53" s="28">
        <v>0.38</v>
      </c>
      <c r="BJ53" s="14">
        <f t="shared" si="18"/>
        <v>0</v>
      </c>
      <c r="BK53" s="21">
        <v>0.42</v>
      </c>
      <c r="BL53" s="28">
        <v>0.42</v>
      </c>
      <c r="BM53" s="14">
        <f t="shared" si="19"/>
        <v>0</v>
      </c>
      <c r="BN53" s="21">
        <v>0.38</v>
      </c>
      <c r="BO53" s="28">
        <v>0.38</v>
      </c>
      <c r="BP53" s="14">
        <f t="shared" si="20"/>
        <v>0</v>
      </c>
      <c r="BQ53" s="3">
        <v>50</v>
      </c>
      <c r="BR53" s="3">
        <v>50</v>
      </c>
      <c r="BS53" s="13">
        <f t="shared" si="21"/>
        <v>0</v>
      </c>
      <c r="BT53" s="3">
        <v>50</v>
      </c>
      <c r="BU53" s="3">
        <v>50</v>
      </c>
      <c r="BV53" s="13">
        <f t="shared" si="22"/>
        <v>0</v>
      </c>
      <c r="BW53" s="3">
        <v>50</v>
      </c>
      <c r="BX53" s="3">
        <v>50</v>
      </c>
      <c r="BY53" s="13">
        <f t="shared" si="23"/>
        <v>0</v>
      </c>
      <c r="BZ53">
        <v>0.9</v>
      </c>
      <c r="CA53" s="3">
        <v>0.7</v>
      </c>
      <c r="CB53" s="14">
        <f t="shared" si="24"/>
        <v>0.28571428571428581</v>
      </c>
      <c r="CC53" s="20">
        <v>28.45</v>
      </c>
      <c r="CD53" s="10">
        <v>28.4</v>
      </c>
      <c r="CE53" s="14">
        <f t="shared" si="25"/>
        <v>1.7605633802817153E-3</v>
      </c>
    </row>
    <row r="54" spans="1:83" x14ac:dyDescent="0.35">
      <c r="A54" s="29">
        <v>46104.272465277776</v>
      </c>
      <c r="B54" s="3" t="s">
        <v>25</v>
      </c>
      <c r="C54" s="3">
        <v>60</v>
      </c>
      <c r="D54" s="3">
        <v>49</v>
      </c>
      <c r="E54" s="3">
        <v>291</v>
      </c>
      <c r="F54" s="21">
        <v>402.86</v>
      </c>
      <c r="G54" s="3">
        <v>404.47</v>
      </c>
      <c r="H54" s="14">
        <f t="shared" si="0"/>
        <v>3.9805177145400489E-3</v>
      </c>
      <c r="I54" s="22">
        <v>404.25</v>
      </c>
      <c r="J54" s="3">
        <v>403.85</v>
      </c>
      <c r="K54" s="14">
        <f t="shared" si="1"/>
        <v>9.9046675745939638E-4</v>
      </c>
      <c r="L54" s="22">
        <v>404.77</v>
      </c>
      <c r="M54" s="3">
        <v>404.76</v>
      </c>
      <c r="N54" s="14">
        <f t="shared" si="2"/>
        <v>2.4705998616441609E-5</v>
      </c>
      <c r="O54" s="22">
        <v>232.6</v>
      </c>
      <c r="P54" s="3">
        <v>232.29</v>
      </c>
      <c r="Q54" s="14">
        <f t="shared" si="3"/>
        <v>1.3345387231477992E-3</v>
      </c>
      <c r="R54" s="22">
        <v>233.4</v>
      </c>
      <c r="S54" s="3">
        <v>232.97</v>
      </c>
      <c r="T54" s="14">
        <f t="shared" si="4"/>
        <v>1.8457312100270714E-3</v>
      </c>
      <c r="U54" s="22">
        <v>233.7</v>
      </c>
      <c r="V54" s="10">
        <v>232.81</v>
      </c>
      <c r="W54" s="14">
        <f t="shared" si="5"/>
        <v>3.8228598427901997E-3</v>
      </c>
      <c r="X54" s="23">
        <v>2.601</v>
      </c>
      <c r="Y54" s="11">
        <v>2.6</v>
      </c>
      <c r="Z54" s="14">
        <f t="shared" si="6"/>
        <v>3.8461538461534222E-4</v>
      </c>
      <c r="AA54" s="23">
        <v>2.665</v>
      </c>
      <c r="AB54" s="11">
        <v>2.7</v>
      </c>
      <c r="AC54" s="14">
        <f t="shared" si="7"/>
        <v>1.2962962962963015E-2</v>
      </c>
      <c r="AD54" s="23">
        <v>2.7410000000000001</v>
      </c>
      <c r="AE54" s="11">
        <v>2.7</v>
      </c>
      <c r="AF54" s="14">
        <f t="shared" si="8"/>
        <v>1.5185185185185156E-2</v>
      </c>
      <c r="AG54" s="24">
        <v>227</v>
      </c>
      <c r="AH54" s="6">
        <v>225</v>
      </c>
      <c r="AI54" s="15">
        <f t="shared" si="9"/>
        <v>8.8888888888888889E-3</v>
      </c>
      <c r="AJ54" s="22">
        <v>262</v>
      </c>
      <c r="AK54" s="6">
        <v>260</v>
      </c>
      <c r="AL54" s="14">
        <f t="shared" si="10"/>
        <v>7.6923076923076927E-3</v>
      </c>
      <c r="AM54" s="24">
        <v>245</v>
      </c>
      <c r="AN54" s="6">
        <v>243</v>
      </c>
      <c r="AO54" s="14">
        <f t="shared" si="11"/>
        <v>8.23045267489712E-3</v>
      </c>
      <c r="AP54" s="24">
        <v>605</v>
      </c>
      <c r="AQ54" s="6">
        <v>603</v>
      </c>
      <c r="AR54" s="14">
        <f t="shared" si="12"/>
        <v>3.3167495854063019E-3</v>
      </c>
      <c r="AS54" s="24">
        <v>622</v>
      </c>
      <c r="AT54" s="3">
        <v>620</v>
      </c>
      <c r="AU54" s="14">
        <f t="shared" si="13"/>
        <v>3.2258064516129032E-3</v>
      </c>
      <c r="AV54" s="22">
        <v>641</v>
      </c>
      <c r="AW54" s="6">
        <v>639</v>
      </c>
      <c r="AX54" s="14">
        <f t="shared" si="14"/>
        <v>3.1298904538341159E-3</v>
      </c>
      <c r="AY54" s="26">
        <v>561</v>
      </c>
      <c r="AZ54" s="6">
        <v>559</v>
      </c>
      <c r="BA54" s="14">
        <f t="shared" si="15"/>
        <v>3.5778175313059034E-3</v>
      </c>
      <c r="BB54" s="27">
        <v>564</v>
      </c>
      <c r="BC54" s="6">
        <v>562</v>
      </c>
      <c r="BD54" s="14">
        <f t="shared" si="16"/>
        <v>3.5587188612099642E-3</v>
      </c>
      <c r="BE54" s="24">
        <v>592</v>
      </c>
      <c r="BF54" s="6">
        <v>590</v>
      </c>
      <c r="BG54" s="14">
        <f t="shared" si="17"/>
        <v>3.3898305084745762E-3</v>
      </c>
      <c r="BH54" s="21">
        <v>0.38</v>
      </c>
      <c r="BI54" s="28">
        <v>0.38</v>
      </c>
      <c r="BJ54" s="14">
        <f t="shared" si="18"/>
        <v>0</v>
      </c>
      <c r="BK54" s="21">
        <v>0.42</v>
      </c>
      <c r="BL54" s="28">
        <v>0.42</v>
      </c>
      <c r="BM54" s="14">
        <f t="shared" si="19"/>
        <v>0</v>
      </c>
      <c r="BN54" s="21">
        <v>0.38</v>
      </c>
      <c r="BO54" s="28">
        <v>0.38</v>
      </c>
      <c r="BP54" s="14">
        <f t="shared" si="20"/>
        <v>0</v>
      </c>
      <c r="BQ54" s="3">
        <v>50</v>
      </c>
      <c r="BR54" s="3">
        <v>50</v>
      </c>
      <c r="BS54" s="13">
        <f t="shared" si="21"/>
        <v>0</v>
      </c>
      <c r="BT54" s="3">
        <v>50</v>
      </c>
      <c r="BU54" s="3">
        <v>50</v>
      </c>
      <c r="BV54" s="13">
        <f t="shared" si="22"/>
        <v>0</v>
      </c>
      <c r="BW54" s="3">
        <v>50</v>
      </c>
      <c r="BX54" s="3">
        <v>50</v>
      </c>
      <c r="BY54" s="13">
        <f t="shared" si="23"/>
        <v>0</v>
      </c>
      <c r="BZ54">
        <v>0.7</v>
      </c>
      <c r="CA54" s="3">
        <v>0.7</v>
      </c>
      <c r="CB54" s="14">
        <f t="shared" si="24"/>
        <v>0</v>
      </c>
      <c r="CC54" s="20">
        <v>28.51</v>
      </c>
      <c r="CD54" s="10">
        <v>28.4</v>
      </c>
      <c r="CE54" s="14">
        <f t="shared" si="25"/>
        <v>3.8732394366198237E-3</v>
      </c>
    </row>
    <row r="55" spans="1:83" x14ac:dyDescent="0.35">
      <c r="A55" s="29">
        <v>46104.272465277776</v>
      </c>
      <c r="B55" s="3" t="s">
        <v>25</v>
      </c>
      <c r="C55" s="3">
        <v>60</v>
      </c>
      <c r="D55" s="3">
        <v>50</v>
      </c>
      <c r="E55" s="3">
        <v>293</v>
      </c>
      <c r="F55" s="21">
        <v>402.69</v>
      </c>
      <c r="G55" s="3">
        <v>403.72</v>
      </c>
      <c r="H55" s="14">
        <f t="shared" si="0"/>
        <v>2.5512731596156481E-3</v>
      </c>
      <c r="I55" s="22">
        <v>404.08</v>
      </c>
      <c r="J55" s="3">
        <v>403.85</v>
      </c>
      <c r="K55" s="14">
        <f t="shared" si="1"/>
        <v>5.6951838553908956E-4</v>
      </c>
      <c r="L55" s="22">
        <v>404.6</v>
      </c>
      <c r="M55" s="3">
        <v>404.76</v>
      </c>
      <c r="N55" s="14">
        <f t="shared" si="2"/>
        <v>3.952959778633466E-4</v>
      </c>
      <c r="O55" s="22">
        <v>232.5</v>
      </c>
      <c r="P55" s="3">
        <v>232.29</v>
      </c>
      <c r="Q55" s="14">
        <f t="shared" si="3"/>
        <v>9.0404236084208514E-4</v>
      </c>
      <c r="R55" s="22">
        <v>233.3</v>
      </c>
      <c r="S55" s="3">
        <v>232.97</v>
      </c>
      <c r="T55" s="14">
        <f t="shared" si="4"/>
        <v>1.4164913937417371E-3</v>
      </c>
      <c r="U55" s="22">
        <v>233.6</v>
      </c>
      <c r="V55" s="10">
        <v>232.81</v>
      </c>
      <c r="W55" s="14">
        <f t="shared" si="5"/>
        <v>3.3933250289935658E-3</v>
      </c>
      <c r="X55" s="23">
        <v>2.6</v>
      </c>
      <c r="Y55" s="11">
        <v>2.6</v>
      </c>
      <c r="Z55" s="14">
        <f t="shared" si="6"/>
        <v>0</v>
      </c>
      <c r="AA55" s="23">
        <v>2.6619999999999999</v>
      </c>
      <c r="AB55" s="11">
        <v>2.7</v>
      </c>
      <c r="AC55" s="14">
        <f t="shared" si="7"/>
        <v>1.4074074074074168E-2</v>
      </c>
      <c r="AD55" s="23">
        <v>2.7360000000000002</v>
      </c>
      <c r="AE55" s="11">
        <v>2.7</v>
      </c>
      <c r="AF55" s="14">
        <f t="shared" si="8"/>
        <v>1.3333333333333345E-2</v>
      </c>
      <c r="AG55" s="24">
        <v>226</v>
      </c>
      <c r="AH55" s="6">
        <v>224</v>
      </c>
      <c r="AI55" s="15">
        <f t="shared" si="9"/>
        <v>8.9285714285714281E-3</v>
      </c>
      <c r="AJ55" s="22">
        <v>260</v>
      </c>
      <c r="AK55" s="6">
        <v>258</v>
      </c>
      <c r="AL55" s="14">
        <f t="shared" si="10"/>
        <v>7.7519379844961239E-3</v>
      </c>
      <c r="AM55" s="24">
        <v>244</v>
      </c>
      <c r="AN55" s="6">
        <v>242</v>
      </c>
      <c r="AO55" s="14">
        <f t="shared" si="11"/>
        <v>8.2644628099173556E-3</v>
      </c>
      <c r="AP55" s="24">
        <v>604</v>
      </c>
      <c r="AQ55" s="6">
        <v>602</v>
      </c>
      <c r="AR55" s="14">
        <f t="shared" si="12"/>
        <v>3.3222591362126247E-3</v>
      </c>
      <c r="AS55" s="24">
        <v>621</v>
      </c>
      <c r="AT55" s="3">
        <v>619</v>
      </c>
      <c r="AU55" s="14">
        <f t="shared" si="13"/>
        <v>3.2310177705977385E-3</v>
      </c>
      <c r="AV55" s="22">
        <v>639</v>
      </c>
      <c r="AW55" s="6">
        <v>637</v>
      </c>
      <c r="AX55" s="14">
        <f t="shared" si="14"/>
        <v>3.1397174254317113E-3</v>
      </c>
      <c r="AY55" s="26">
        <v>561</v>
      </c>
      <c r="AZ55" s="6">
        <v>559</v>
      </c>
      <c r="BA55" s="14">
        <f t="shared" si="15"/>
        <v>3.5778175313059034E-3</v>
      </c>
      <c r="BB55" s="27">
        <v>564</v>
      </c>
      <c r="BC55" s="6">
        <v>562</v>
      </c>
      <c r="BD55" s="14">
        <f t="shared" si="16"/>
        <v>3.5587188612099642E-3</v>
      </c>
      <c r="BE55" s="24">
        <v>591</v>
      </c>
      <c r="BF55" s="6">
        <v>589</v>
      </c>
      <c r="BG55" s="14">
        <f t="shared" si="17"/>
        <v>3.3955857385398981E-3</v>
      </c>
      <c r="BH55" s="21">
        <v>0.37</v>
      </c>
      <c r="BI55" s="28">
        <v>0.38</v>
      </c>
      <c r="BJ55" s="14">
        <f t="shared" si="18"/>
        <v>2.6315789473684233E-2</v>
      </c>
      <c r="BK55" s="21">
        <v>0.42</v>
      </c>
      <c r="BL55" s="28">
        <v>0.42</v>
      </c>
      <c r="BM55" s="14">
        <f t="shared" si="19"/>
        <v>0</v>
      </c>
      <c r="BN55" s="21">
        <v>0.38</v>
      </c>
      <c r="BO55" s="28">
        <v>0.38</v>
      </c>
      <c r="BP55" s="14">
        <f t="shared" si="20"/>
        <v>0</v>
      </c>
      <c r="BQ55" s="3">
        <v>50</v>
      </c>
      <c r="BR55" s="3">
        <v>50</v>
      </c>
      <c r="BS55" s="13">
        <f t="shared" si="21"/>
        <v>0</v>
      </c>
      <c r="BT55" s="3">
        <v>50</v>
      </c>
      <c r="BU55" s="3">
        <v>50</v>
      </c>
      <c r="BV55" s="13">
        <f t="shared" si="22"/>
        <v>0</v>
      </c>
      <c r="BW55" s="3">
        <v>50</v>
      </c>
      <c r="BX55" s="3">
        <v>50</v>
      </c>
      <c r="BY55" s="13">
        <f t="shared" si="23"/>
        <v>0</v>
      </c>
      <c r="BZ55">
        <v>0.8</v>
      </c>
      <c r="CA55" s="3">
        <v>0.7</v>
      </c>
      <c r="CB55" s="14">
        <f t="shared" si="24"/>
        <v>0.14285714285714299</v>
      </c>
      <c r="CC55" s="20">
        <v>28.37</v>
      </c>
      <c r="CD55" s="10">
        <v>28.4</v>
      </c>
      <c r="CE55" s="14">
        <f t="shared" si="25"/>
        <v>1.056338028168929E-3</v>
      </c>
    </row>
    <row r="56" spans="1:83" x14ac:dyDescent="0.35">
      <c r="A56" s="29">
        <v>46104.272465277776</v>
      </c>
      <c r="B56" s="3" t="s">
        <v>25</v>
      </c>
      <c r="C56" s="3">
        <v>60</v>
      </c>
      <c r="D56" s="3">
        <v>51</v>
      </c>
      <c r="E56" s="3">
        <v>295</v>
      </c>
      <c r="F56" s="21">
        <v>402.52</v>
      </c>
      <c r="G56" s="3">
        <v>403.72</v>
      </c>
      <c r="H56" s="14">
        <f t="shared" si="0"/>
        <v>2.9723570791638891E-3</v>
      </c>
      <c r="I56" s="22">
        <v>403.9</v>
      </c>
      <c r="J56" s="3">
        <v>403.85</v>
      </c>
      <c r="K56" s="14">
        <f t="shared" si="1"/>
        <v>1.2380834468231897E-4</v>
      </c>
      <c r="L56" s="22">
        <v>404.42</v>
      </c>
      <c r="M56" s="3">
        <v>404.76</v>
      </c>
      <c r="N56" s="14">
        <f t="shared" si="2"/>
        <v>8.4000395295971686E-4</v>
      </c>
      <c r="O56" s="22">
        <v>232.4</v>
      </c>
      <c r="P56" s="3">
        <v>232.29</v>
      </c>
      <c r="Q56" s="14">
        <f t="shared" si="3"/>
        <v>4.7354599853637112E-4</v>
      </c>
      <c r="R56" s="22">
        <v>233.2</v>
      </c>
      <c r="S56" s="3">
        <v>232.63</v>
      </c>
      <c r="T56" s="14">
        <f t="shared" si="4"/>
        <v>2.4502428749516108E-3</v>
      </c>
      <c r="U56" s="22">
        <v>233.5</v>
      </c>
      <c r="V56" s="10">
        <v>232.81</v>
      </c>
      <c r="W56" s="14">
        <f t="shared" si="5"/>
        <v>2.9637902151969319E-3</v>
      </c>
      <c r="X56" s="23">
        <v>2.5990000000000002</v>
      </c>
      <c r="Y56" s="11">
        <v>2.6</v>
      </c>
      <c r="Z56" s="14">
        <f t="shared" si="6"/>
        <v>3.8461538461534222E-4</v>
      </c>
      <c r="AA56" s="23">
        <v>2.661</v>
      </c>
      <c r="AB56" s="11">
        <v>2.7</v>
      </c>
      <c r="AC56" s="14">
        <f t="shared" si="7"/>
        <v>1.4444444444444498E-2</v>
      </c>
      <c r="AD56" s="23">
        <v>2.7360000000000002</v>
      </c>
      <c r="AE56" s="11">
        <v>2.7</v>
      </c>
      <c r="AF56" s="14">
        <f t="shared" si="8"/>
        <v>1.3333333333333345E-2</v>
      </c>
      <c r="AG56" s="24">
        <v>227</v>
      </c>
      <c r="AH56" s="6">
        <v>225</v>
      </c>
      <c r="AI56" s="15">
        <f t="shared" si="9"/>
        <v>8.8888888888888889E-3</v>
      </c>
      <c r="AJ56" s="22">
        <v>261</v>
      </c>
      <c r="AK56" s="6">
        <v>259</v>
      </c>
      <c r="AL56" s="14">
        <f t="shared" si="10"/>
        <v>7.7220077220077222E-3</v>
      </c>
      <c r="AM56" s="24">
        <v>244</v>
      </c>
      <c r="AN56" s="6">
        <v>242</v>
      </c>
      <c r="AO56" s="14">
        <f t="shared" si="11"/>
        <v>8.2644628099173556E-3</v>
      </c>
      <c r="AP56" s="24">
        <v>604</v>
      </c>
      <c r="AQ56" s="6">
        <v>602</v>
      </c>
      <c r="AR56" s="14">
        <f t="shared" si="12"/>
        <v>3.3222591362126247E-3</v>
      </c>
      <c r="AS56" s="24">
        <v>621</v>
      </c>
      <c r="AT56" s="3">
        <v>619</v>
      </c>
      <c r="AU56" s="14">
        <f t="shared" si="13"/>
        <v>3.2310177705977385E-3</v>
      </c>
      <c r="AV56" s="22">
        <v>639</v>
      </c>
      <c r="AW56" s="6">
        <v>637</v>
      </c>
      <c r="AX56" s="14">
        <f t="shared" si="14"/>
        <v>3.1397174254317113E-3</v>
      </c>
      <c r="AY56" s="26">
        <v>560</v>
      </c>
      <c r="AZ56" s="6">
        <v>558</v>
      </c>
      <c r="BA56" s="14">
        <f t="shared" si="15"/>
        <v>3.5842293906810036E-3</v>
      </c>
      <c r="BB56" s="27">
        <v>563</v>
      </c>
      <c r="BC56" s="6">
        <v>561</v>
      </c>
      <c r="BD56" s="14">
        <f t="shared" si="16"/>
        <v>3.5650623885918001E-3</v>
      </c>
      <c r="BE56" s="24">
        <v>590</v>
      </c>
      <c r="BF56" s="6">
        <v>590</v>
      </c>
      <c r="BG56" s="14">
        <f t="shared" si="17"/>
        <v>0</v>
      </c>
      <c r="BH56" s="21">
        <v>0.38</v>
      </c>
      <c r="BI56" s="28">
        <v>0.38</v>
      </c>
      <c r="BJ56" s="14">
        <f t="shared" si="18"/>
        <v>0</v>
      </c>
      <c r="BK56" s="21">
        <v>0.42</v>
      </c>
      <c r="BL56" s="28">
        <v>0.42</v>
      </c>
      <c r="BM56" s="14">
        <f t="shared" si="19"/>
        <v>0</v>
      </c>
      <c r="BN56" s="21">
        <v>0.38</v>
      </c>
      <c r="BO56" s="28">
        <v>0.38</v>
      </c>
      <c r="BP56" s="14">
        <f t="shared" si="20"/>
        <v>0</v>
      </c>
      <c r="BQ56" s="3">
        <v>50</v>
      </c>
      <c r="BR56" s="3">
        <v>50</v>
      </c>
      <c r="BS56" s="13">
        <f t="shared" si="21"/>
        <v>0</v>
      </c>
      <c r="BT56" s="3">
        <v>50</v>
      </c>
      <c r="BU56" s="3">
        <v>50</v>
      </c>
      <c r="BV56" s="13">
        <f t="shared" si="22"/>
        <v>0</v>
      </c>
      <c r="BW56" s="3">
        <v>50</v>
      </c>
      <c r="BX56" s="3">
        <v>50</v>
      </c>
      <c r="BY56" s="13">
        <f t="shared" si="23"/>
        <v>0</v>
      </c>
      <c r="BZ56">
        <v>0.8</v>
      </c>
      <c r="CA56" s="3">
        <v>0.7</v>
      </c>
      <c r="CB56" s="14">
        <f t="shared" si="24"/>
        <v>0.14285714285714299</v>
      </c>
      <c r="CC56" s="20">
        <v>28.39</v>
      </c>
      <c r="CD56" s="10">
        <v>28.4</v>
      </c>
      <c r="CE56" s="14">
        <f t="shared" si="25"/>
        <v>3.5211267605626801E-4</v>
      </c>
    </row>
    <row r="57" spans="1:83" x14ac:dyDescent="0.35">
      <c r="A57" s="29">
        <v>46104.272465277776</v>
      </c>
      <c r="B57" s="3" t="s">
        <v>25</v>
      </c>
      <c r="C57" s="3">
        <v>60</v>
      </c>
      <c r="D57" s="3">
        <v>52</v>
      </c>
      <c r="E57" s="3">
        <v>299</v>
      </c>
      <c r="F57" s="21">
        <v>402.34</v>
      </c>
      <c r="G57" s="3">
        <v>403.72</v>
      </c>
      <c r="H57" s="14">
        <f t="shared" si="0"/>
        <v>3.4182106410384728E-3</v>
      </c>
      <c r="I57" s="22">
        <v>403.73</v>
      </c>
      <c r="J57" s="3">
        <v>403.22</v>
      </c>
      <c r="K57" s="14">
        <f t="shared" si="1"/>
        <v>1.26481821338225E-3</v>
      </c>
      <c r="L57" s="22">
        <v>404.42</v>
      </c>
      <c r="M57" s="3">
        <v>404.76</v>
      </c>
      <c r="N57" s="14">
        <f t="shared" si="2"/>
        <v>8.4000395295971686E-4</v>
      </c>
      <c r="O57" s="22">
        <v>232.3</v>
      </c>
      <c r="P57" s="3">
        <v>232.29</v>
      </c>
      <c r="Q57" s="14">
        <f t="shared" si="3"/>
        <v>4.3049636230657053E-5</v>
      </c>
      <c r="R57" s="22">
        <v>233.1</v>
      </c>
      <c r="S57" s="3">
        <v>232.63</v>
      </c>
      <c r="T57" s="14">
        <f t="shared" si="4"/>
        <v>2.0203757039074879E-3</v>
      </c>
      <c r="U57" s="22">
        <v>233.5</v>
      </c>
      <c r="V57" s="10">
        <v>232.81</v>
      </c>
      <c r="W57" s="14">
        <f t="shared" si="5"/>
        <v>2.9637902151969319E-3</v>
      </c>
      <c r="X57" s="23">
        <v>2.5979999999999999</v>
      </c>
      <c r="Y57" s="11">
        <v>2.6</v>
      </c>
      <c r="Z57" s="14">
        <f t="shared" si="6"/>
        <v>7.6923076923085532E-4</v>
      </c>
      <c r="AA57" s="23">
        <v>2.661</v>
      </c>
      <c r="AB57" s="11">
        <v>2.7</v>
      </c>
      <c r="AC57" s="14">
        <f t="shared" si="7"/>
        <v>1.4444444444444498E-2</v>
      </c>
      <c r="AD57" s="23">
        <v>2.7349999999999999</v>
      </c>
      <c r="AE57" s="11">
        <v>2.7</v>
      </c>
      <c r="AF57" s="14">
        <f t="shared" si="8"/>
        <v>1.296296296296285E-2</v>
      </c>
      <c r="AG57" s="24">
        <v>226</v>
      </c>
      <c r="AH57" s="6">
        <v>224</v>
      </c>
      <c r="AI57" s="15">
        <f t="shared" si="9"/>
        <v>8.9285714285714281E-3</v>
      </c>
      <c r="AJ57" s="22">
        <v>260</v>
      </c>
      <c r="AK57" s="6">
        <v>258</v>
      </c>
      <c r="AL57" s="14">
        <f t="shared" si="10"/>
        <v>7.7519379844961239E-3</v>
      </c>
      <c r="AM57" s="24">
        <v>244</v>
      </c>
      <c r="AN57" s="6">
        <v>242</v>
      </c>
      <c r="AO57" s="14">
        <f t="shared" si="11"/>
        <v>8.2644628099173556E-3</v>
      </c>
      <c r="AP57" s="24">
        <v>604</v>
      </c>
      <c r="AQ57" s="6">
        <v>602</v>
      </c>
      <c r="AR57" s="14">
        <f t="shared" si="12"/>
        <v>3.3222591362126247E-3</v>
      </c>
      <c r="AS57" s="24">
        <v>620</v>
      </c>
      <c r="AT57" s="3">
        <v>618</v>
      </c>
      <c r="AU57" s="14">
        <f t="shared" si="13"/>
        <v>3.2362459546925568E-3</v>
      </c>
      <c r="AV57" s="22">
        <v>639</v>
      </c>
      <c r="AW57" s="6">
        <v>637</v>
      </c>
      <c r="AX57" s="14">
        <f t="shared" si="14"/>
        <v>3.1397174254317113E-3</v>
      </c>
      <c r="AY57" s="26">
        <v>560</v>
      </c>
      <c r="AZ57" s="6">
        <v>558</v>
      </c>
      <c r="BA57" s="14">
        <f t="shared" si="15"/>
        <v>3.5842293906810036E-3</v>
      </c>
      <c r="BB57" s="27">
        <v>563</v>
      </c>
      <c r="BC57" s="6">
        <v>561</v>
      </c>
      <c r="BD57" s="14">
        <f t="shared" si="16"/>
        <v>3.5650623885918001E-3</v>
      </c>
      <c r="BE57" s="24">
        <v>590</v>
      </c>
      <c r="BF57" s="6">
        <v>590</v>
      </c>
      <c r="BG57" s="14">
        <f t="shared" si="17"/>
        <v>0</v>
      </c>
      <c r="BH57" s="21">
        <v>0.37</v>
      </c>
      <c r="BI57" s="28">
        <v>0.38</v>
      </c>
      <c r="BJ57" s="14">
        <f t="shared" si="18"/>
        <v>2.6315789473684233E-2</v>
      </c>
      <c r="BK57" s="21">
        <v>0.42</v>
      </c>
      <c r="BL57" s="28">
        <v>0.42</v>
      </c>
      <c r="BM57" s="14">
        <f t="shared" si="19"/>
        <v>0</v>
      </c>
      <c r="BN57" s="21">
        <v>0.38</v>
      </c>
      <c r="BO57" s="28">
        <v>0.38</v>
      </c>
      <c r="BP57" s="14">
        <f t="shared" si="20"/>
        <v>0</v>
      </c>
      <c r="BQ57" s="3">
        <v>50</v>
      </c>
      <c r="BR57" s="3">
        <v>50</v>
      </c>
      <c r="BS57" s="13">
        <f t="shared" si="21"/>
        <v>0</v>
      </c>
      <c r="BT57" s="3">
        <v>50</v>
      </c>
      <c r="BU57" s="3">
        <v>50</v>
      </c>
      <c r="BV57" s="13">
        <f t="shared" si="22"/>
        <v>0</v>
      </c>
      <c r="BW57" s="3">
        <v>50</v>
      </c>
      <c r="BX57" s="3">
        <v>50</v>
      </c>
      <c r="BY57" s="13">
        <f t="shared" si="23"/>
        <v>0</v>
      </c>
      <c r="BZ57">
        <v>0.8</v>
      </c>
      <c r="CA57" s="3">
        <v>0.7</v>
      </c>
      <c r="CB57" s="14">
        <f t="shared" si="24"/>
        <v>0.14285714285714299</v>
      </c>
      <c r="CC57" s="20">
        <v>28.45</v>
      </c>
      <c r="CD57" s="10">
        <v>28.4</v>
      </c>
      <c r="CE57" s="14">
        <f t="shared" si="25"/>
        <v>1.7605633802817153E-3</v>
      </c>
    </row>
    <row r="58" spans="1:83" x14ac:dyDescent="0.35">
      <c r="A58" s="29">
        <v>46104.272465277776</v>
      </c>
      <c r="B58" s="3" t="s">
        <v>25</v>
      </c>
      <c r="C58" s="3">
        <v>60</v>
      </c>
      <c r="D58" s="3">
        <v>53</v>
      </c>
      <c r="E58" s="3">
        <v>307</v>
      </c>
      <c r="F58" s="21">
        <v>402.34</v>
      </c>
      <c r="G58" s="3">
        <v>403.72</v>
      </c>
      <c r="H58" s="14">
        <f t="shared" si="0"/>
        <v>3.4182106410384728E-3</v>
      </c>
      <c r="I58" s="22">
        <v>403.73</v>
      </c>
      <c r="J58" s="3">
        <v>403.22</v>
      </c>
      <c r="K58" s="14">
        <f t="shared" si="1"/>
        <v>1.26481821338225E-3</v>
      </c>
      <c r="L58" s="22">
        <v>404.08</v>
      </c>
      <c r="M58" s="3">
        <v>404.76</v>
      </c>
      <c r="N58" s="14">
        <f t="shared" si="2"/>
        <v>1.6800079059195742E-3</v>
      </c>
      <c r="O58" s="22">
        <v>232.3</v>
      </c>
      <c r="P58" s="3">
        <v>232.29</v>
      </c>
      <c r="Q58" s="14">
        <f t="shared" si="3"/>
        <v>4.3049636230657053E-5</v>
      </c>
      <c r="R58" s="22">
        <v>233.1</v>
      </c>
      <c r="S58" s="3">
        <v>232.63</v>
      </c>
      <c r="T58" s="14">
        <f t="shared" si="4"/>
        <v>2.0203757039074879E-3</v>
      </c>
      <c r="U58" s="22">
        <v>233.3</v>
      </c>
      <c r="V58" s="10">
        <v>232.81</v>
      </c>
      <c r="W58" s="14">
        <f t="shared" si="5"/>
        <v>2.1047205876036641E-3</v>
      </c>
      <c r="X58" s="23">
        <v>2.597</v>
      </c>
      <c r="Y58" s="11">
        <v>2.6</v>
      </c>
      <c r="Z58" s="14">
        <f t="shared" si="6"/>
        <v>1.1538461538461975E-3</v>
      </c>
      <c r="AA58" s="23">
        <v>2.661</v>
      </c>
      <c r="AB58" s="11">
        <v>2.7</v>
      </c>
      <c r="AC58" s="14">
        <f t="shared" si="7"/>
        <v>1.4444444444444498E-2</v>
      </c>
      <c r="AD58" s="23">
        <v>2.734</v>
      </c>
      <c r="AE58" s="11">
        <v>2.7</v>
      </c>
      <c r="AF58" s="14">
        <f t="shared" si="8"/>
        <v>1.259259259259252E-2</v>
      </c>
      <c r="AG58" s="24">
        <v>225</v>
      </c>
      <c r="AH58" s="6">
        <v>223</v>
      </c>
      <c r="AI58" s="15">
        <f t="shared" si="9"/>
        <v>8.9686098654708519E-3</v>
      </c>
      <c r="AJ58" s="22">
        <v>260</v>
      </c>
      <c r="AK58" s="6">
        <v>258</v>
      </c>
      <c r="AL58" s="14">
        <f t="shared" si="10"/>
        <v>7.7519379844961239E-3</v>
      </c>
      <c r="AM58" s="24">
        <v>243</v>
      </c>
      <c r="AN58" s="6">
        <v>241</v>
      </c>
      <c r="AO58" s="14">
        <f t="shared" si="11"/>
        <v>8.2987551867219917E-3</v>
      </c>
      <c r="AP58" s="24">
        <v>603</v>
      </c>
      <c r="AQ58" s="6">
        <v>601</v>
      </c>
      <c r="AR58" s="14">
        <f t="shared" si="12"/>
        <v>3.3277870216306157E-3</v>
      </c>
      <c r="AS58" s="24">
        <v>620</v>
      </c>
      <c r="AT58" s="3">
        <v>618</v>
      </c>
      <c r="AU58" s="14">
        <f t="shared" si="13"/>
        <v>3.2362459546925568E-3</v>
      </c>
      <c r="AV58" s="22">
        <v>638</v>
      </c>
      <c r="AW58" s="6">
        <v>636</v>
      </c>
      <c r="AX58" s="14">
        <f t="shared" si="14"/>
        <v>3.1446540880503146E-3</v>
      </c>
      <c r="AY58" s="26">
        <v>560</v>
      </c>
      <c r="AZ58" s="6">
        <v>558</v>
      </c>
      <c r="BA58" s="14">
        <f t="shared" si="15"/>
        <v>3.5842293906810036E-3</v>
      </c>
      <c r="BB58" s="27">
        <v>563</v>
      </c>
      <c r="BC58" s="6">
        <v>561</v>
      </c>
      <c r="BD58" s="14">
        <f t="shared" si="16"/>
        <v>3.5650623885918001E-3</v>
      </c>
      <c r="BE58" s="24">
        <v>590</v>
      </c>
      <c r="BF58" s="6">
        <v>590</v>
      </c>
      <c r="BG58" s="14">
        <f t="shared" si="17"/>
        <v>0</v>
      </c>
      <c r="BH58" s="21">
        <v>0.37</v>
      </c>
      <c r="BI58" s="28">
        <v>0.38</v>
      </c>
      <c r="BJ58" s="14">
        <f t="shared" si="18"/>
        <v>2.6315789473684233E-2</v>
      </c>
      <c r="BK58" s="21">
        <v>0.42</v>
      </c>
      <c r="BL58" s="28">
        <v>0.42</v>
      </c>
      <c r="BM58" s="14">
        <f t="shared" si="19"/>
        <v>0</v>
      </c>
      <c r="BN58" s="21">
        <v>0.38</v>
      </c>
      <c r="BO58" s="28">
        <v>0.38</v>
      </c>
      <c r="BP58" s="14">
        <f t="shared" si="20"/>
        <v>0</v>
      </c>
      <c r="BQ58" s="3">
        <v>50</v>
      </c>
      <c r="BR58" s="3">
        <v>50</v>
      </c>
      <c r="BS58" s="13">
        <f t="shared" si="21"/>
        <v>0</v>
      </c>
      <c r="BT58" s="3">
        <v>50</v>
      </c>
      <c r="BU58" s="3">
        <v>50</v>
      </c>
      <c r="BV58" s="13">
        <f t="shared" si="22"/>
        <v>0</v>
      </c>
      <c r="BW58" s="3">
        <v>50</v>
      </c>
      <c r="BX58" s="3">
        <v>50</v>
      </c>
      <c r="BY58" s="13">
        <f t="shared" si="23"/>
        <v>0</v>
      </c>
      <c r="BZ58">
        <v>0.7</v>
      </c>
      <c r="CA58" s="3">
        <v>0.7</v>
      </c>
      <c r="CB58" s="14">
        <f t="shared" si="24"/>
        <v>0</v>
      </c>
      <c r="CC58" s="20">
        <v>28.51</v>
      </c>
      <c r="CD58" s="10">
        <v>28.4</v>
      </c>
      <c r="CE58" s="14">
        <f t="shared" si="25"/>
        <v>3.8732394366198237E-3</v>
      </c>
    </row>
    <row r="59" spans="1:83" x14ac:dyDescent="0.35">
      <c r="A59" s="29">
        <v>46104.272465277776</v>
      </c>
      <c r="B59" s="3" t="s">
        <v>25</v>
      </c>
      <c r="C59" s="3">
        <v>60</v>
      </c>
      <c r="D59" s="3">
        <v>54</v>
      </c>
      <c r="E59" s="3">
        <v>310</v>
      </c>
      <c r="F59" s="21">
        <v>402.69</v>
      </c>
      <c r="G59" s="3">
        <v>403.72</v>
      </c>
      <c r="H59" s="14">
        <f t="shared" si="0"/>
        <v>2.5512731596156481E-3</v>
      </c>
      <c r="I59" s="22">
        <v>403.9</v>
      </c>
      <c r="J59" s="3">
        <v>403.22</v>
      </c>
      <c r="K59" s="14">
        <f t="shared" si="1"/>
        <v>1.6864242845095728E-3</v>
      </c>
      <c r="L59" s="22">
        <v>404.6</v>
      </c>
      <c r="M59" s="3">
        <v>404.76</v>
      </c>
      <c r="N59" s="14">
        <f t="shared" si="2"/>
        <v>3.952959778633466E-4</v>
      </c>
      <c r="O59" s="22">
        <v>232.5</v>
      </c>
      <c r="P59" s="3">
        <v>232.07</v>
      </c>
      <c r="Q59" s="14">
        <f t="shared" si="3"/>
        <v>1.8528892144611833E-3</v>
      </c>
      <c r="R59" s="22">
        <v>233.2</v>
      </c>
      <c r="S59" s="3">
        <v>232.63</v>
      </c>
      <c r="T59" s="14">
        <f t="shared" si="4"/>
        <v>2.4502428749516108E-3</v>
      </c>
      <c r="U59" s="22">
        <v>233.6</v>
      </c>
      <c r="V59" s="10">
        <v>232.81</v>
      </c>
      <c r="W59" s="14">
        <f t="shared" si="5"/>
        <v>3.3933250289935658E-3</v>
      </c>
      <c r="X59" s="23">
        <v>2.601</v>
      </c>
      <c r="Y59" s="11">
        <v>2.6</v>
      </c>
      <c r="Z59" s="14">
        <f t="shared" si="6"/>
        <v>3.8461538461534222E-4</v>
      </c>
      <c r="AA59" s="23">
        <v>2.6589999999999998</v>
      </c>
      <c r="AB59" s="11">
        <v>2.7</v>
      </c>
      <c r="AC59" s="14">
        <f t="shared" si="7"/>
        <v>1.5185185185185321E-2</v>
      </c>
      <c r="AD59" s="23">
        <v>2.738</v>
      </c>
      <c r="AE59" s="11">
        <v>2.7</v>
      </c>
      <c r="AF59" s="14">
        <f t="shared" si="8"/>
        <v>1.4074074074074003E-2</v>
      </c>
      <c r="AG59" s="24">
        <v>225</v>
      </c>
      <c r="AH59" s="6">
        <v>223</v>
      </c>
      <c r="AI59" s="15">
        <f t="shared" si="9"/>
        <v>8.9686098654708519E-3</v>
      </c>
      <c r="AJ59" s="22">
        <v>259</v>
      </c>
      <c r="AK59" s="6">
        <v>257</v>
      </c>
      <c r="AL59" s="14">
        <f t="shared" si="10"/>
        <v>7.7821011673151752E-3</v>
      </c>
      <c r="AM59" s="24">
        <v>243</v>
      </c>
      <c r="AN59" s="6">
        <v>241</v>
      </c>
      <c r="AO59" s="14">
        <f t="shared" si="11"/>
        <v>8.2987551867219917E-3</v>
      </c>
      <c r="AP59" s="24">
        <v>605</v>
      </c>
      <c r="AQ59" s="6">
        <v>603</v>
      </c>
      <c r="AR59" s="14">
        <f t="shared" si="12"/>
        <v>3.3167495854063019E-3</v>
      </c>
      <c r="AS59" s="24">
        <v>620</v>
      </c>
      <c r="AT59" s="3">
        <v>618</v>
      </c>
      <c r="AU59" s="14">
        <f t="shared" si="13"/>
        <v>3.2362459546925568E-3</v>
      </c>
      <c r="AV59" s="22">
        <v>640</v>
      </c>
      <c r="AW59" s="6">
        <v>638</v>
      </c>
      <c r="AX59" s="14">
        <f t="shared" si="14"/>
        <v>3.134796238244514E-3</v>
      </c>
      <c r="AY59" s="26">
        <v>561</v>
      </c>
      <c r="AZ59" s="6">
        <v>559</v>
      </c>
      <c r="BA59" s="14">
        <f t="shared" si="15"/>
        <v>3.5778175313059034E-3</v>
      </c>
      <c r="BB59" s="27">
        <v>563</v>
      </c>
      <c r="BC59" s="6">
        <v>561</v>
      </c>
      <c r="BD59" s="14">
        <f t="shared" si="16"/>
        <v>3.5650623885918001E-3</v>
      </c>
      <c r="BE59" s="24">
        <v>591</v>
      </c>
      <c r="BF59" s="6">
        <v>589</v>
      </c>
      <c r="BG59" s="14">
        <f t="shared" si="17"/>
        <v>3.3955857385398981E-3</v>
      </c>
      <c r="BH59" s="21">
        <v>0.37</v>
      </c>
      <c r="BI59" s="28">
        <v>0.38</v>
      </c>
      <c r="BJ59" s="14">
        <f t="shared" si="18"/>
        <v>2.6315789473684233E-2</v>
      </c>
      <c r="BK59" s="21">
        <v>0.42</v>
      </c>
      <c r="BL59" s="28">
        <v>0.42</v>
      </c>
      <c r="BM59" s="14">
        <f t="shared" si="19"/>
        <v>0</v>
      </c>
      <c r="BN59" s="21">
        <v>0.38</v>
      </c>
      <c r="BO59" s="28">
        <v>0.38</v>
      </c>
      <c r="BP59" s="14">
        <f t="shared" si="20"/>
        <v>0</v>
      </c>
      <c r="BQ59" s="3">
        <v>50</v>
      </c>
      <c r="BR59" s="3">
        <v>50</v>
      </c>
      <c r="BS59" s="13">
        <f t="shared" si="21"/>
        <v>0</v>
      </c>
      <c r="BT59" s="3">
        <v>50</v>
      </c>
      <c r="BU59" s="3">
        <v>50</v>
      </c>
      <c r="BV59" s="13">
        <f t="shared" si="22"/>
        <v>0</v>
      </c>
      <c r="BW59" s="3">
        <v>50</v>
      </c>
      <c r="BX59" s="3">
        <v>50</v>
      </c>
      <c r="BY59" s="13">
        <f t="shared" si="23"/>
        <v>0</v>
      </c>
      <c r="BZ59">
        <v>0.5</v>
      </c>
      <c r="CA59" s="3">
        <v>0.5</v>
      </c>
      <c r="CB59" s="14">
        <f t="shared" si="24"/>
        <v>0</v>
      </c>
      <c r="CC59" s="20">
        <v>28.59</v>
      </c>
      <c r="CD59" s="10">
        <v>28.4</v>
      </c>
      <c r="CE59" s="14">
        <f t="shared" si="25"/>
        <v>6.6901408450704683E-3</v>
      </c>
    </row>
    <row r="60" spans="1:83" x14ac:dyDescent="0.35">
      <c r="A60" s="29">
        <v>46104.272465277776</v>
      </c>
      <c r="B60" s="3" t="s">
        <v>25</v>
      </c>
      <c r="C60" s="3">
        <v>60</v>
      </c>
      <c r="D60" s="3">
        <v>55</v>
      </c>
      <c r="E60" s="3">
        <v>312</v>
      </c>
      <c r="F60" s="21">
        <v>402.69</v>
      </c>
      <c r="G60" s="3">
        <v>403.72</v>
      </c>
      <c r="H60" s="14">
        <f t="shared" si="0"/>
        <v>2.5512731596156481E-3</v>
      </c>
      <c r="I60" s="22">
        <v>404.08</v>
      </c>
      <c r="J60" s="3">
        <v>403.22</v>
      </c>
      <c r="K60" s="14">
        <f t="shared" si="1"/>
        <v>2.1328307127621566E-3</v>
      </c>
      <c r="L60" s="22">
        <v>404.77</v>
      </c>
      <c r="M60" s="3">
        <v>404.76</v>
      </c>
      <c r="N60" s="14">
        <f t="shared" si="2"/>
        <v>2.4705998616441609E-5</v>
      </c>
      <c r="O60" s="22">
        <v>232.5</v>
      </c>
      <c r="P60" s="3">
        <v>232.07</v>
      </c>
      <c r="Q60" s="14">
        <f t="shared" si="3"/>
        <v>1.8528892144611833E-3</v>
      </c>
      <c r="R60" s="22">
        <v>233.3</v>
      </c>
      <c r="S60" s="3">
        <v>232.63</v>
      </c>
      <c r="T60" s="14">
        <f t="shared" si="4"/>
        <v>2.880110045995856E-3</v>
      </c>
      <c r="U60" s="22">
        <v>233.7</v>
      </c>
      <c r="V60" s="10">
        <v>232.81</v>
      </c>
      <c r="W60" s="14">
        <f t="shared" si="5"/>
        <v>3.8228598427901997E-3</v>
      </c>
      <c r="X60" s="23">
        <v>2.605</v>
      </c>
      <c r="Y60" s="11">
        <v>2.6</v>
      </c>
      <c r="Z60" s="14">
        <f t="shared" si="6"/>
        <v>1.923076923076882E-3</v>
      </c>
      <c r="AA60" s="23">
        <v>2.6629999999999998</v>
      </c>
      <c r="AB60" s="11">
        <v>2.7</v>
      </c>
      <c r="AC60" s="14">
        <f t="shared" si="7"/>
        <v>1.3703703703703838E-2</v>
      </c>
      <c r="AD60" s="23">
        <v>2.7410000000000001</v>
      </c>
      <c r="AE60" s="11">
        <v>2.7</v>
      </c>
      <c r="AF60" s="14">
        <f t="shared" si="8"/>
        <v>1.5185185185185156E-2</v>
      </c>
      <c r="AG60" s="24">
        <v>225</v>
      </c>
      <c r="AH60" s="6">
        <v>223</v>
      </c>
      <c r="AI60" s="15">
        <f t="shared" si="9"/>
        <v>8.9686098654708519E-3</v>
      </c>
      <c r="AJ60" s="22">
        <v>259</v>
      </c>
      <c r="AK60" s="6">
        <v>257</v>
      </c>
      <c r="AL60" s="14">
        <f t="shared" si="10"/>
        <v>7.7821011673151752E-3</v>
      </c>
      <c r="AM60" s="24">
        <v>244</v>
      </c>
      <c r="AN60" s="6">
        <v>242</v>
      </c>
      <c r="AO60" s="14">
        <f t="shared" si="11"/>
        <v>8.2644628099173556E-3</v>
      </c>
      <c r="AP60" s="24">
        <v>606</v>
      </c>
      <c r="AQ60" s="6">
        <v>604</v>
      </c>
      <c r="AR60" s="14">
        <f t="shared" si="12"/>
        <v>3.3112582781456954E-3</v>
      </c>
      <c r="AS60" s="24">
        <v>621</v>
      </c>
      <c r="AT60" s="3">
        <v>618</v>
      </c>
      <c r="AU60" s="14">
        <f t="shared" si="13"/>
        <v>4.8543689320388345E-3</v>
      </c>
      <c r="AV60" s="22">
        <v>641</v>
      </c>
      <c r="AW60" s="6">
        <v>639</v>
      </c>
      <c r="AX60" s="14">
        <f>IF(OR(AV60="",AW60="",AW60=0),"",ABS((AV60-AW60)/AW60))</f>
        <v>3.1298904538341159E-3</v>
      </c>
      <c r="AY60" s="26">
        <v>562</v>
      </c>
      <c r="AZ60" s="6">
        <v>560</v>
      </c>
      <c r="BA60" s="14">
        <f t="shared" si="15"/>
        <v>3.5714285714285713E-3</v>
      </c>
      <c r="BB60" s="27">
        <v>564</v>
      </c>
      <c r="BC60" s="6">
        <v>562</v>
      </c>
      <c r="BD60" s="14">
        <f t="shared" si="16"/>
        <v>3.5587188612099642E-3</v>
      </c>
      <c r="BE60" s="24">
        <v>592</v>
      </c>
      <c r="BF60" s="6">
        <v>590</v>
      </c>
      <c r="BG60" s="14">
        <f t="shared" si="17"/>
        <v>3.3898305084745762E-3</v>
      </c>
      <c r="BH60" s="21">
        <v>0.37</v>
      </c>
      <c r="BI60" s="28">
        <v>0.38</v>
      </c>
      <c r="BJ60" s="14">
        <f t="shared" si="18"/>
        <v>2.6315789473684233E-2</v>
      </c>
      <c r="BK60" s="21">
        <v>0.42</v>
      </c>
      <c r="BL60" s="28">
        <v>0.42</v>
      </c>
      <c r="BM60" s="14">
        <f t="shared" si="19"/>
        <v>0</v>
      </c>
      <c r="BN60" s="21">
        <v>0.38</v>
      </c>
      <c r="BO60" s="28">
        <v>0.38</v>
      </c>
      <c r="BP60" s="14">
        <f t="shared" si="20"/>
        <v>0</v>
      </c>
      <c r="BQ60" s="3">
        <v>50</v>
      </c>
      <c r="BR60" s="3">
        <v>50</v>
      </c>
      <c r="BS60" s="13">
        <f t="shared" si="21"/>
        <v>0</v>
      </c>
      <c r="BT60" s="3">
        <v>50</v>
      </c>
      <c r="BU60" s="3">
        <v>50</v>
      </c>
      <c r="BV60" s="13">
        <f t="shared" si="22"/>
        <v>0</v>
      </c>
      <c r="BW60" s="3">
        <v>50</v>
      </c>
      <c r="BX60" s="3">
        <v>50</v>
      </c>
      <c r="BY60" s="13">
        <f t="shared" si="23"/>
        <v>0</v>
      </c>
      <c r="BZ60">
        <v>0.4</v>
      </c>
      <c r="CA60" s="3">
        <v>0.4</v>
      </c>
      <c r="CB60" s="14">
        <f t="shared" si="24"/>
        <v>0</v>
      </c>
      <c r="CC60" s="20">
        <v>28.59</v>
      </c>
      <c r="CD60" s="10">
        <v>28.4</v>
      </c>
      <c r="CE60" s="14">
        <f t="shared" si="25"/>
        <v>6.6901408450704683E-3</v>
      </c>
    </row>
    <row r="61" spans="1:83" x14ac:dyDescent="0.35">
      <c r="A61" s="29">
        <v>46104.272465277776</v>
      </c>
      <c r="B61" s="3" t="s">
        <v>25</v>
      </c>
      <c r="C61" s="3">
        <v>60</v>
      </c>
      <c r="D61" s="3">
        <v>56</v>
      </c>
      <c r="E61" s="3">
        <v>314</v>
      </c>
      <c r="F61" s="21">
        <v>403.04</v>
      </c>
      <c r="G61" s="3">
        <v>403.72</v>
      </c>
      <c r="H61" s="14">
        <f t="shared" si="0"/>
        <v>1.6843356781928236E-3</v>
      </c>
      <c r="I61" s="22">
        <v>404.25</v>
      </c>
      <c r="J61" s="3">
        <v>403.22</v>
      </c>
      <c r="K61" s="14">
        <f t="shared" si="1"/>
        <v>2.5544367838896201E-3</v>
      </c>
      <c r="L61" s="22">
        <v>404.77</v>
      </c>
      <c r="M61" s="3">
        <v>404.76</v>
      </c>
      <c r="N61" s="14">
        <f t="shared" si="2"/>
        <v>2.4705998616441609E-5</v>
      </c>
      <c r="O61" s="22">
        <v>232.7</v>
      </c>
      <c r="P61" s="3">
        <v>232.07</v>
      </c>
      <c r="Q61" s="14">
        <f t="shared" si="3"/>
        <v>2.7146981514198109E-3</v>
      </c>
      <c r="R61" s="22">
        <v>233.4</v>
      </c>
      <c r="S61" s="3">
        <v>232.63</v>
      </c>
      <c r="T61" s="14">
        <f t="shared" si="4"/>
        <v>3.3099772170399788E-3</v>
      </c>
      <c r="U61" s="22">
        <v>233.7</v>
      </c>
      <c r="V61" s="10">
        <v>232.81</v>
      </c>
      <c r="W61" s="14">
        <f t="shared" si="5"/>
        <v>3.8228598427901997E-3</v>
      </c>
      <c r="X61" s="23">
        <v>2.6070000000000002</v>
      </c>
      <c r="Y61" s="11">
        <v>2.6</v>
      </c>
      <c r="Z61" s="14">
        <f t="shared" si="6"/>
        <v>2.6923076923077373E-3</v>
      </c>
      <c r="AA61" s="23">
        <v>2.665</v>
      </c>
      <c r="AB61" s="11">
        <v>2.7</v>
      </c>
      <c r="AC61" s="14">
        <f t="shared" si="7"/>
        <v>1.2962962962963015E-2</v>
      </c>
      <c r="AD61" s="23">
        <v>2.7450000000000001</v>
      </c>
      <c r="AE61" s="11">
        <v>2.7</v>
      </c>
      <c r="AF61" s="14">
        <f t="shared" si="8"/>
        <v>1.6666666666666639E-2</v>
      </c>
      <c r="AG61" s="24">
        <v>226</v>
      </c>
      <c r="AH61" s="6">
        <v>224</v>
      </c>
      <c r="AI61" s="15">
        <f t="shared" si="9"/>
        <v>8.9285714285714281E-3</v>
      </c>
      <c r="AJ61" s="22">
        <v>260</v>
      </c>
      <c r="AK61" s="6">
        <v>258</v>
      </c>
      <c r="AL61" s="14">
        <f t="shared" si="10"/>
        <v>7.7519379844961239E-3</v>
      </c>
      <c r="AM61" s="24">
        <v>244</v>
      </c>
      <c r="AN61" s="6">
        <v>242</v>
      </c>
      <c r="AO61" s="14">
        <f t="shared" si="11"/>
        <v>8.2644628099173556E-3</v>
      </c>
      <c r="AP61" s="24">
        <v>607</v>
      </c>
      <c r="AQ61" s="6">
        <v>605</v>
      </c>
      <c r="AR61" s="14">
        <f t="shared" si="12"/>
        <v>3.3057851239669421E-3</v>
      </c>
      <c r="AS61" s="24">
        <v>622</v>
      </c>
      <c r="AT61" s="3">
        <v>618</v>
      </c>
      <c r="AU61" s="14">
        <f t="shared" si="13"/>
        <v>6.4724919093851136E-3</v>
      </c>
      <c r="AV61" s="22">
        <v>642</v>
      </c>
      <c r="AW61" s="6">
        <v>640</v>
      </c>
      <c r="AX61" s="14">
        <f>IF(OR(AV61="",AW61="",AW61=0),"",ABS((AV61-AW61)/AW61))</f>
        <v>3.1250000000000002E-3</v>
      </c>
      <c r="AY61" s="26">
        <v>563</v>
      </c>
      <c r="AZ61" s="5">
        <v>561</v>
      </c>
      <c r="BA61" s="14">
        <f t="shared" si="15"/>
        <v>3.5650623885918001E-3</v>
      </c>
      <c r="BB61" s="27">
        <v>565</v>
      </c>
      <c r="BC61" s="5">
        <v>563</v>
      </c>
      <c r="BD61" s="14">
        <f t="shared" si="16"/>
        <v>3.552397868561279E-3</v>
      </c>
      <c r="BE61" s="24">
        <v>593</v>
      </c>
      <c r="BF61" s="5">
        <v>591</v>
      </c>
      <c r="BG61" s="14">
        <f t="shared" si="17"/>
        <v>3.3840947546531302E-3</v>
      </c>
      <c r="BH61" s="21">
        <v>0.37</v>
      </c>
      <c r="BI61" s="28">
        <v>0.38</v>
      </c>
      <c r="BJ61" s="14">
        <f t="shared" si="18"/>
        <v>2.6315789473684233E-2</v>
      </c>
      <c r="BK61" s="21">
        <v>0.42</v>
      </c>
      <c r="BL61" s="28">
        <v>0.42</v>
      </c>
      <c r="BM61" s="14">
        <f t="shared" si="19"/>
        <v>0</v>
      </c>
      <c r="BN61" s="21">
        <v>0.38</v>
      </c>
      <c r="BO61" s="28">
        <v>0.38</v>
      </c>
      <c r="BP61" s="14">
        <f t="shared" si="20"/>
        <v>0</v>
      </c>
      <c r="BQ61" s="3">
        <v>50</v>
      </c>
      <c r="BR61" s="3">
        <v>50</v>
      </c>
      <c r="BS61" s="13">
        <f t="shared" si="21"/>
        <v>0</v>
      </c>
      <c r="BT61" s="3">
        <v>50</v>
      </c>
      <c r="BU61" s="3">
        <v>50</v>
      </c>
      <c r="BV61" s="13">
        <f t="shared" si="22"/>
        <v>0</v>
      </c>
      <c r="BW61" s="3">
        <v>50</v>
      </c>
      <c r="BX61" s="3">
        <v>50</v>
      </c>
      <c r="BY61" s="13">
        <f t="shared" si="23"/>
        <v>0</v>
      </c>
      <c r="BZ61">
        <v>0.4</v>
      </c>
      <c r="CA61" s="3">
        <v>0.4</v>
      </c>
      <c r="CB61" s="14">
        <f t="shared" si="24"/>
        <v>0</v>
      </c>
      <c r="CC61" s="20">
        <v>28.47</v>
      </c>
      <c r="CD61" s="10">
        <v>28.4</v>
      </c>
      <c r="CE61" s="14">
        <f t="shared" si="25"/>
        <v>2.4647887323943764E-3</v>
      </c>
    </row>
    <row r="62" spans="1:83" x14ac:dyDescent="0.35">
      <c r="A62" s="29">
        <v>46104.272465277776</v>
      </c>
      <c r="B62" s="3" t="s">
        <v>25</v>
      </c>
      <c r="C62" s="3">
        <v>60</v>
      </c>
      <c r="D62" s="3">
        <v>57</v>
      </c>
      <c r="E62" s="3">
        <v>316</v>
      </c>
      <c r="F62" s="21">
        <v>402.86</v>
      </c>
      <c r="G62" s="3">
        <v>403.72</v>
      </c>
      <c r="H62" s="14">
        <f t="shared" si="0"/>
        <v>2.1301892400674071E-3</v>
      </c>
      <c r="I62" s="22">
        <v>404.08</v>
      </c>
      <c r="J62" s="3">
        <v>403.22</v>
      </c>
      <c r="K62" s="14">
        <f t="shared" si="1"/>
        <v>2.1328307127621566E-3</v>
      </c>
      <c r="L62" s="22">
        <v>404.77</v>
      </c>
      <c r="M62" s="3">
        <v>404.76</v>
      </c>
      <c r="N62" s="14">
        <f t="shared" si="2"/>
        <v>2.4705998616441609E-5</v>
      </c>
      <c r="O62" s="22">
        <v>232.6</v>
      </c>
      <c r="P62" s="3">
        <v>232.07</v>
      </c>
      <c r="Q62" s="14">
        <f t="shared" si="3"/>
        <v>2.2837936829404972E-3</v>
      </c>
      <c r="R62" s="22">
        <v>233.3</v>
      </c>
      <c r="S62" s="3">
        <v>232.63</v>
      </c>
      <c r="T62" s="14">
        <f t="shared" si="4"/>
        <v>2.880110045995856E-3</v>
      </c>
      <c r="U62" s="22">
        <v>233.7</v>
      </c>
      <c r="V62" s="10">
        <v>232.81</v>
      </c>
      <c r="W62" s="14">
        <f t="shared" si="5"/>
        <v>3.8228598427901997E-3</v>
      </c>
      <c r="X62" s="23">
        <v>2.6040000000000001</v>
      </c>
      <c r="Y62" s="11">
        <v>2.6</v>
      </c>
      <c r="Z62" s="14">
        <f t="shared" si="6"/>
        <v>1.5384615384615398E-3</v>
      </c>
      <c r="AA62" s="23">
        <v>2.6619999999999999</v>
      </c>
      <c r="AB62" s="11">
        <v>2.7</v>
      </c>
      <c r="AC62" s="14">
        <f t="shared" si="7"/>
        <v>1.4074074074074168E-2</v>
      </c>
      <c r="AD62" s="23">
        <v>2.74</v>
      </c>
      <c r="AE62" s="11">
        <v>2.7</v>
      </c>
      <c r="AF62" s="14">
        <f t="shared" si="8"/>
        <v>1.4814814814814828E-2</v>
      </c>
      <c r="AG62" s="24">
        <v>225</v>
      </c>
      <c r="AH62" s="6">
        <v>223</v>
      </c>
      <c r="AI62" s="15">
        <f t="shared" si="9"/>
        <v>8.9686098654708519E-3</v>
      </c>
      <c r="AJ62" s="22">
        <v>259</v>
      </c>
      <c r="AK62" s="6">
        <v>258</v>
      </c>
      <c r="AL62" s="14">
        <f t="shared" si="10"/>
        <v>3.875968992248062E-3</v>
      </c>
      <c r="AM62" s="24">
        <v>244</v>
      </c>
      <c r="AN62" s="6">
        <v>242</v>
      </c>
      <c r="AO62" s="14">
        <f t="shared" si="11"/>
        <v>8.2644628099173556E-3</v>
      </c>
      <c r="AP62" s="24">
        <v>606</v>
      </c>
      <c r="AQ62" s="6">
        <v>604</v>
      </c>
      <c r="AR62" s="14">
        <f t="shared" si="12"/>
        <v>3.3112582781456954E-3</v>
      </c>
      <c r="AS62" s="24">
        <v>621</v>
      </c>
      <c r="AT62" s="3">
        <v>619</v>
      </c>
      <c r="AU62" s="14">
        <f t="shared" si="13"/>
        <v>3.2310177705977385E-3</v>
      </c>
      <c r="AV62" s="22">
        <v>640</v>
      </c>
      <c r="AW62" s="6">
        <v>638</v>
      </c>
      <c r="AX62" s="14">
        <f>IF(OR(AV62="",AW62="",AW62=0),"",ABS((AV62-AW62)/AW62))</f>
        <v>3.134796238244514E-3</v>
      </c>
      <c r="AY62" s="26">
        <v>562</v>
      </c>
      <c r="AZ62" s="5">
        <v>560</v>
      </c>
      <c r="BA62" s="14">
        <f t="shared" si="15"/>
        <v>3.5714285714285713E-3</v>
      </c>
      <c r="BB62" s="27">
        <v>564</v>
      </c>
      <c r="BC62" s="5">
        <v>562</v>
      </c>
      <c r="BD62" s="14">
        <f t="shared" si="16"/>
        <v>3.5587188612099642E-3</v>
      </c>
      <c r="BE62" s="24">
        <v>592</v>
      </c>
      <c r="BF62" s="5">
        <v>590</v>
      </c>
      <c r="BG62" s="14">
        <f t="shared" si="17"/>
        <v>3.3898305084745762E-3</v>
      </c>
      <c r="BH62" s="21">
        <v>0.37</v>
      </c>
      <c r="BI62" s="28">
        <v>0.38</v>
      </c>
      <c r="BJ62" s="14">
        <f t="shared" si="18"/>
        <v>2.6315789473684233E-2</v>
      </c>
      <c r="BK62" s="21">
        <v>0.42</v>
      </c>
      <c r="BL62" s="28">
        <v>0.42</v>
      </c>
      <c r="BM62" s="14">
        <f t="shared" si="19"/>
        <v>0</v>
      </c>
      <c r="BN62" s="21">
        <v>0.38</v>
      </c>
      <c r="BO62" s="28">
        <v>0.38</v>
      </c>
      <c r="BP62" s="14">
        <f t="shared" si="20"/>
        <v>0</v>
      </c>
      <c r="BQ62" s="3">
        <v>50</v>
      </c>
      <c r="BR62" s="3">
        <v>50</v>
      </c>
      <c r="BS62" s="13">
        <f t="shared" si="21"/>
        <v>0</v>
      </c>
      <c r="BT62" s="3">
        <v>50</v>
      </c>
      <c r="BU62" s="3">
        <v>50</v>
      </c>
      <c r="BV62" s="13">
        <f t="shared" si="22"/>
        <v>0</v>
      </c>
      <c r="BW62" s="3">
        <v>50</v>
      </c>
      <c r="BX62" s="3">
        <v>50</v>
      </c>
      <c r="BY62" s="13">
        <f t="shared" si="23"/>
        <v>0</v>
      </c>
      <c r="BZ62">
        <v>0.4</v>
      </c>
      <c r="CA62" s="3">
        <v>0.4</v>
      </c>
      <c r="CB62" s="14">
        <f t="shared" si="24"/>
        <v>0</v>
      </c>
      <c r="CC62" s="20">
        <v>28.43</v>
      </c>
      <c r="CD62" s="10">
        <v>28.4</v>
      </c>
      <c r="CE62" s="14">
        <f t="shared" si="25"/>
        <v>1.0563380281690541E-3</v>
      </c>
    </row>
    <row r="63" spans="1:83" x14ac:dyDescent="0.35">
      <c r="A63" s="29">
        <v>46104.272465277776</v>
      </c>
      <c r="B63" s="3" t="s">
        <v>25</v>
      </c>
      <c r="C63" s="3">
        <v>60</v>
      </c>
      <c r="D63" s="3">
        <v>58</v>
      </c>
      <c r="E63" s="3">
        <v>318</v>
      </c>
      <c r="F63" s="21">
        <v>403.04</v>
      </c>
      <c r="G63" s="3">
        <v>403.72</v>
      </c>
      <c r="H63" s="14">
        <f t="shared" si="0"/>
        <v>1.6843356781928236E-3</v>
      </c>
      <c r="I63" s="22">
        <v>404.42</v>
      </c>
      <c r="J63" s="3">
        <v>403.22</v>
      </c>
      <c r="K63" s="14">
        <f t="shared" si="1"/>
        <v>2.976042855017084E-3</v>
      </c>
      <c r="L63" s="22">
        <v>404.77</v>
      </c>
      <c r="M63" s="3">
        <v>404.76</v>
      </c>
      <c r="N63" s="14">
        <f t="shared" si="2"/>
        <v>2.4705998616441609E-5</v>
      </c>
      <c r="O63" s="22">
        <v>232.7</v>
      </c>
      <c r="P63" s="3">
        <v>232.07</v>
      </c>
      <c r="Q63" s="14">
        <f t="shared" si="3"/>
        <v>2.7146981514198109E-3</v>
      </c>
      <c r="R63" s="22">
        <v>233.5</v>
      </c>
      <c r="S63" s="3">
        <v>232.63</v>
      </c>
      <c r="T63" s="14">
        <f t="shared" si="4"/>
        <v>3.7398443880841017E-3</v>
      </c>
      <c r="U63" s="22">
        <v>233.7</v>
      </c>
      <c r="V63" s="10">
        <v>232.81</v>
      </c>
      <c r="W63" s="14">
        <f t="shared" si="5"/>
        <v>3.8228598427901997E-3</v>
      </c>
      <c r="X63" s="23">
        <v>2.6110000000000002</v>
      </c>
      <c r="Y63" s="11">
        <v>2.6</v>
      </c>
      <c r="Z63" s="14">
        <f t="shared" si="6"/>
        <v>4.2307692307692775E-3</v>
      </c>
      <c r="AA63" s="23">
        <v>2.6680000000000001</v>
      </c>
      <c r="AB63" s="11">
        <v>2.7</v>
      </c>
      <c r="AC63" s="14">
        <f t="shared" si="7"/>
        <v>1.1851851851851862E-2</v>
      </c>
      <c r="AD63" s="23">
        <v>2.7440000000000002</v>
      </c>
      <c r="AE63" s="11">
        <v>2.7</v>
      </c>
      <c r="AF63" s="14">
        <f t="shared" si="8"/>
        <v>1.6296296296296309E-2</v>
      </c>
      <c r="AG63" s="24">
        <v>227</v>
      </c>
      <c r="AH63" s="6">
        <v>225</v>
      </c>
      <c r="AI63" s="15">
        <f t="shared" si="9"/>
        <v>8.8888888888888889E-3</v>
      </c>
      <c r="AJ63" s="22">
        <v>261</v>
      </c>
      <c r="AK63" s="6">
        <v>258</v>
      </c>
      <c r="AL63" s="14">
        <f t="shared" si="10"/>
        <v>1.1627906976744186E-2</v>
      </c>
      <c r="AM63" s="24">
        <v>244</v>
      </c>
      <c r="AN63" s="6">
        <v>242</v>
      </c>
      <c r="AO63" s="14">
        <f t="shared" si="11"/>
        <v>8.2644628099173556E-3</v>
      </c>
      <c r="AP63" s="24">
        <v>608</v>
      </c>
      <c r="AQ63" s="6">
        <v>606</v>
      </c>
      <c r="AR63" s="14">
        <f t="shared" si="12"/>
        <v>3.3003300330033004E-3</v>
      </c>
      <c r="AS63" s="24">
        <v>623</v>
      </c>
      <c r="AT63" s="3">
        <v>621</v>
      </c>
      <c r="AU63" s="14">
        <f t="shared" si="13"/>
        <v>3.2206119162640902E-3</v>
      </c>
      <c r="AV63" s="22">
        <v>641</v>
      </c>
      <c r="AW63" s="6">
        <v>639</v>
      </c>
      <c r="AX63" s="14">
        <f t="shared" si="14"/>
        <v>3.1298904538341159E-3</v>
      </c>
      <c r="AY63" s="26">
        <v>564</v>
      </c>
      <c r="AZ63" s="5">
        <v>562</v>
      </c>
      <c r="BA63" s="14">
        <f t="shared" si="15"/>
        <v>3.5587188612099642E-3</v>
      </c>
      <c r="BB63" s="27">
        <v>566</v>
      </c>
      <c r="BC63" s="5">
        <v>564</v>
      </c>
      <c r="BD63" s="14">
        <f t="shared" si="16"/>
        <v>3.5460992907801418E-3</v>
      </c>
      <c r="BE63" s="24">
        <v>593</v>
      </c>
      <c r="BF63" s="5">
        <v>591</v>
      </c>
      <c r="BG63" s="14">
        <f t="shared" si="17"/>
        <v>3.3840947546531302E-3</v>
      </c>
      <c r="BH63" s="21">
        <v>0.37</v>
      </c>
      <c r="BI63" s="28">
        <v>0.38</v>
      </c>
      <c r="BJ63" s="14">
        <f t="shared" si="18"/>
        <v>2.6315789473684233E-2</v>
      </c>
      <c r="BK63" s="21">
        <v>0.42</v>
      </c>
      <c r="BL63" s="28">
        <v>0.42</v>
      </c>
      <c r="BM63" s="14">
        <f t="shared" si="19"/>
        <v>0</v>
      </c>
      <c r="BN63" s="21">
        <v>0.38</v>
      </c>
      <c r="BO63" s="28">
        <v>0.38</v>
      </c>
      <c r="BP63" s="14">
        <f t="shared" si="20"/>
        <v>0</v>
      </c>
      <c r="BQ63" s="3">
        <v>50</v>
      </c>
      <c r="BR63" s="3">
        <v>50</v>
      </c>
      <c r="BS63" s="13">
        <f t="shared" si="21"/>
        <v>0</v>
      </c>
      <c r="BT63" s="3">
        <v>50</v>
      </c>
      <c r="BU63" s="3">
        <v>50</v>
      </c>
      <c r="BV63" s="13">
        <f t="shared" si="22"/>
        <v>0</v>
      </c>
      <c r="BW63" s="3">
        <v>50</v>
      </c>
      <c r="BX63" s="3">
        <v>50</v>
      </c>
      <c r="BY63" s="13">
        <f t="shared" si="23"/>
        <v>0</v>
      </c>
      <c r="BZ63">
        <v>0.4</v>
      </c>
      <c r="CA63" s="3">
        <v>0.4</v>
      </c>
      <c r="CB63" s="14">
        <f t="shared" si="24"/>
        <v>0</v>
      </c>
      <c r="CC63" s="20">
        <v>28.37</v>
      </c>
      <c r="CD63" s="10">
        <v>28.4</v>
      </c>
      <c r="CE63" s="14">
        <f t="shared" si="25"/>
        <v>1.056338028168929E-3</v>
      </c>
    </row>
    <row r="64" spans="1:83" x14ac:dyDescent="0.35">
      <c r="A64" s="29">
        <v>46104.272465277776</v>
      </c>
      <c r="B64" s="3" t="s">
        <v>25</v>
      </c>
      <c r="C64" s="3">
        <v>60</v>
      </c>
      <c r="D64" s="3">
        <v>59</v>
      </c>
      <c r="E64" s="3">
        <v>320</v>
      </c>
      <c r="F64" s="21">
        <v>402.69</v>
      </c>
      <c r="G64" s="3">
        <v>403.72</v>
      </c>
      <c r="H64" s="14">
        <f t="shared" si="0"/>
        <v>2.5512731596156481E-3</v>
      </c>
      <c r="I64" s="22">
        <v>404.08</v>
      </c>
      <c r="J64" s="3">
        <v>403.22</v>
      </c>
      <c r="K64" s="14">
        <f t="shared" si="1"/>
        <v>2.1328307127621566E-3</v>
      </c>
      <c r="L64" s="22">
        <v>404.77</v>
      </c>
      <c r="M64" s="3">
        <v>404.76</v>
      </c>
      <c r="N64" s="14">
        <f t="shared" si="2"/>
        <v>2.4705998616441609E-5</v>
      </c>
      <c r="O64" s="22">
        <v>232.5</v>
      </c>
      <c r="P64" s="3">
        <v>232.07</v>
      </c>
      <c r="Q64" s="14">
        <f t="shared" si="3"/>
        <v>1.8528892144611833E-3</v>
      </c>
      <c r="R64" s="22">
        <v>233.3</v>
      </c>
      <c r="S64" s="3">
        <v>232.63</v>
      </c>
      <c r="T64" s="14">
        <f t="shared" si="4"/>
        <v>2.880110045995856E-3</v>
      </c>
      <c r="U64" s="22">
        <v>233.7</v>
      </c>
      <c r="V64" s="10">
        <v>232.81</v>
      </c>
      <c r="W64" s="14">
        <f t="shared" si="5"/>
        <v>3.8228598427901997E-3</v>
      </c>
      <c r="X64" s="23">
        <v>2.609</v>
      </c>
      <c r="Y64" s="11">
        <v>2.6</v>
      </c>
      <c r="Z64" s="14">
        <f t="shared" si="6"/>
        <v>3.4615384615384217E-3</v>
      </c>
      <c r="AA64" s="23">
        <v>2.6709999999999998</v>
      </c>
      <c r="AB64" s="11">
        <v>2.7</v>
      </c>
      <c r="AC64" s="14">
        <f t="shared" si="7"/>
        <v>1.0740740740740874E-2</v>
      </c>
      <c r="AD64" s="23">
        <v>2.7469999999999999</v>
      </c>
      <c r="AE64" s="11">
        <v>2.7</v>
      </c>
      <c r="AF64" s="14">
        <f t="shared" si="8"/>
        <v>1.7407407407407299E-2</v>
      </c>
      <c r="AG64" s="24">
        <v>230</v>
      </c>
      <c r="AH64" s="6">
        <v>228</v>
      </c>
      <c r="AI64" s="15">
        <f t="shared" si="9"/>
        <v>8.771929824561403E-3</v>
      </c>
      <c r="AJ64" s="22">
        <v>265</v>
      </c>
      <c r="AK64" s="6">
        <v>258</v>
      </c>
      <c r="AL64" s="14">
        <f t="shared" si="10"/>
        <v>2.7131782945736434E-2</v>
      </c>
      <c r="AM64" s="24">
        <v>248</v>
      </c>
      <c r="AN64" s="6">
        <v>246</v>
      </c>
      <c r="AO64" s="14">
        <f t="shared" si="11"/>
        <v>8.130081300813009E-3</v>
      </c>
      <c r="AP64" s="24">
        <v>607</v>
      </c>
      <c r="AQ64" s="6">
        <v>605</v>
      </c>
      <c r="AR64" s="14">
        <f t="shared" si="12"/>
        <v>3.3057851239669421E-3</v>
      </c>
      <c r="AS64" s="24">
        <v>623</v>
      </c>
      <c r="AT64" s="3">
        <v>621</v>
      </c>
      <c r="AU64" s="14">
        <f t="shared" si="13"/>
        <v>3.2206119162640902E-3</v>
      </c>
      <c r="AV64" s="22">
        <v>642</v>
      </c>
      <c r="AW64" s="6">
        <v>640</v>
      </c>
      <c r="AX64" s="14">
        <f t="shared" si="14"/>
        <v>3.1250000000000002E-3</v>
      </c>
      <c r="AY64" s="26">
        <v>561</v>
      </c>
      <c r="AZ64" s="6">
        <v>559</v>
      </c>
      <c r="BA64" s="14">
        <f t="shared" si="15"/>
        <v>3.5778175313059034E-3</v>
      </c>
      <c r="BB64" s="27">
        <v>564</v>
      </c>
      <c r="BC64" s="6">
        <v>562</v>
      </c>
      <c r="BD64" s="14">
        <f t="shared" si="16"/>
        <v>3.5587188612099642E-3</v>
      </c>
      <c r="BE64" s="24">
        <v>592</v>
      </c>
      <c r="BF64" s="6">
        <v>590</v>
      </c>
      <c r="BG64" s="14">
        <f t="shared" si="17"/>
        <v>3.3898305084745762E-3</v>
      </c>
      <c r="BH64" s="21">
        <v>0.38</v>
      </c>
      <c r="BI64" s="28">
        <v>0.38</v>
      </c>
      <c r="BJ64" s="14">
        <f t="shared" si="18"/>
        <v>0</v>
      </c>
      <c r="BK64" s="21">
        <v>0.43</v>
      </c>
      <c r="BL64" s="28">
        <v>0.42</v>
      </c>
      <c r="BM64" s="14">
        <f t="shared" si="19"/>
        <v>2.3809523809523832E-2</v>
      </c>
      <c r="BN64" s="21">
        <v>0.39</v>
      </c>
      <c r="BO64" s="28">
        <v>0.39</v>
      </c>
      <c r="BP64" s="14">
        <f t="shared" si="20"/>
        <v>0</v>
      </c>
      <c r="BQ64" s="3">
        <v>50</v>
      </c>
      <c r="BR64" s="3">
        <v>50</v>
      </c>
      <c r="BS64" s="13">
        <f t="shared" si="21"/>
        <v>0</v>
      </c>
      <c r="BT64" s="3">
        <v>50</v>
      </c>
      <c r="BU64" s="3">
        <v>50</v>
      </c>
      <c r="BV64" s="13">
        <f t="shared" si="22"/>
        <v>0</v>
      </c>
      <c r="BW64" s="3">
        <v>50</v>
      </c>
      <c r="BX64" s="3">
        <v>50</v>
      </c>
      <c r="BY64" s="13">
        <f t="shared" si="23"/>
        <v>0</v>
      </c>
      <c r="BZ64">
        <v>0.4</v>
      </c>
      <c r="CA64" s="3">
        <v>0.4</v>
      </c>
      <c r="CB64" s="14">
        <f t="shared" si="24"/>
        <v>0</v>
      </c>
      <c r="CC64" s="20">
        <v>28.37</v>
      </c>
      <c r="CD64" s="10">
        <v>28.4</v>
      </c>
      <c r="CE64" s="14">
        <f t="shared" si="25"/>
        <v>1.056338028168929E-3</v>
      </c>
    </row>
    <row r="65" spans="1:83" x14ac:dyDescent="0.35">
      <c r="A65" s="30" t="s">
        <v>26</v>
      </c>
      <c r="B65" s="30"/>
      <c r="C65" s="30"/>
      <c r="D65" s="30"/>
      <c r="E65" s="30"/>
      <c r="F65" s="7">
        <f t="shared" ref="F65:M65" si="26">AVERAGE(F5:F64)</f>
        <v>403.12616666666651</v>
      </c>
      <c r="G65" s="7">
        <f t="shared" si="26"/>
        <v>404.09416666666687</v>
      </c>
      <c r="H65" s="14">
        <f t="shared" si="26"/>
        <v>2.4618936558698733E-3</v>
      </c>
      <c r="I65" s="7">
        <f t="shared" si="26"/>
        <v>404.40850000000017</v>
      </c>
      <c r="J65" s="7">
        <f t="shared" si="26"/>
        <v>403.74983333333319</v>
      </c>
      <c r="K65" s="14">
        <f t="shared" si="26"/>
        <v>1.6333325976217942E-3</v>
      </c>
      <c r="L65" s="8">
        <f t="shared" si="26"/>
        <v>405.03733333333344</v>
      </c>
      <c r="M65" s="8">
        <f t="shared" si="26"/>
        <v>404.96566666666615</v>
      </c>
      <c r="N65" s="14">
        <f t="shared" ref="N65:BY65" si="27">AVERAGE(N5:N64)</f>
        <v>6.2807599306445225E-4</v>
      </c>
      <c r="O65" s="8">
        <f t="shared" si="27"/>
        <v>232.73833333333329</v>
      </c>
      <c r="P65" s="8">
        <f t="shared" si="27"/>
        <v>232.41833333333338</v>
      </c>
      <c r="Q65" s="14">
        <f t="shared" si="27"/>
        <v>1.4186550458404443E-3</v>
      </c>
      <c r="R65" s="8">
        <f t="shared" si="27"/>
        <v>233.4916666666667</v>
      </c>
      <c r="S65" s="8">
        <f t="shared" si="27"/>
        <v>232.90166666666633</v>
      </c>
      <c r="T65" s="14">
        <f t="shared" si="27"/>
        <v>2.5333403595132185E-3</v>
      </c>
      <c r="U65" s="8">
        <f t="shared" si="27"/>
        <v>233.84333333333342</v>
      </c>
      <c r="V65" s="8">
        <f t="shared" si="27"/>
        <v>232.77999999999994</v>
      </c>
      <c r="W65" s="14">
        <f t="shared" si="27"/>
        <v>4.5680284352844474E-3</v>
      </c>
      <c r="X65" s="8">
        <f t="shared" si="27"/>
        <v>2.5994833333333331</v>
      </c>
      <c r="Y65" s="8">
        <f t="shared" si="27"/>
        <v>2.616666666666664</v>
      </c>
      <c r="Z65" s="14">
        <f t="shared" si="27"/>
        <v>8.3881766381766441E-3</v>
      </c>
      <c r="AA65" s="8">
        <f t="shared" si="27"/>
        <v>2.6644000000000005</v>
      </c>
      <c r="AB65" s="8">
        <f t="shared" si="27"/>
        <v>2.6983333333333324</v>
      </c>
      <c r="AC65" s="14">
        <f t="shared" si="27"/>
        <v>1.3222222222222284E-2</v>
      </c>
      <c r="AD65" s="8">
        <f t="shared" si="27"/>
        <v>2.7388500000000011</v>
      </c>
      <c r="AE65" s="8">
        <f t="shared" si="27"/>
        <v>2.6999999999999988</v>
      </c>
      <c r="AF65" s="14">
        <f t="shared" si="27"/>
        <v>1.4388888888888833E-2</v>
      </c>
      <c r="AG65" s="8">
        <f t="shared" si="27"/>
        <v>225.08333333333334</v>
      </c>
      <c r="AH65" s="8">
        <f t="shared" si="27"/>
        <v>223.36666666666667</v>
      </c>
      <c r="AI65" s="14">
        <f t="shared" si="27"/>
        <v>7.6675498911631702E-3</v>
      </c>
      <c r="AJ65" s="9">
        <f t="shared" si="27"/>
        <v>260.38333333333333</v>
      </c>
      <c r="AK65" s="9">
        <f t="shared" si="27"/>
        <v>258.64999999999998</v>
      </c>
      <c r="AL65" s="14">
        <f t="shared" si="27"/>
        <v>6.6873063108394354E-3</v>
      </c>
      <c r="AM65" s="9">
        <f t="shared" si="27"/>
        <v>242.55</v>
      </c>
      <c r="AN65" s="18">
        <f t="shared" si="27"/>
        <v>240.55</v>
      </c>
      <c r="AO65" s="14">
        <f t="shared" si="27"/>
        <v>8.3173968604267606E-3</v>
      </c>
      <c r="AP65" s="9">
        <f t="shared" si="27"/>
        <v>604.76666666666665</v>
      </c>
      <c r="AQ65" s="9">
        <f t="shared" si="27"/>
        <v>602.76666666666665</v>
      </c>
      <c r="AR65" s="14">
        <f t="shared" si="27"/>
        <v>3.3171999113346335E-3</v>
      </c>
      <c r="AS65" s="9">
        <f t="shared" si="27"/>
        <v>621.98333333333335</v>
      </c>
      <c r="AT65" s="19">
        <f t="shared" si="27"/>
        <v>619.85</v>
      </c>
      <c r="AU65" s="14">
        <f t="shared" si="27"/>
        <v>3.4426091468300725E-3</v>
      </c>
      <c r="AV65" s="9">
        <f t="shared" si="27"/>
        <v>640.51666666666665</v>
      </c>
      <c r="AW65" s="9">
        <f t="shared" si="27"/>
        <v>638.51666666666665</v>
      </c>
      <c r="AX65" s="14">
        <f t="shared" si="27"/>
        <v>3.1323062733696421E-3</v>
      </c>
      <c r="AY65" s="9">
        <f t="shared" si="27"/>
        <v>561.18333333333328</v>
      </c>
      <c r="AZ65" s="8">
        <f t="shared" si="27"/>
        <v>559.18333333333328</v>
      </c>
      <c r="BA65" s="14">
        <f t="shared" si="27"/>
        <v>3.5767098376075358E-3</v>
      </c>
      <c r="BB65" s="9">
        <f t="shared" si="27"/>
        <v>564.93333333333328</v>
      </c>
      <c r="BC65" s="18">
        <f t="shared" si="27"/>
        <v>562.93333333333328</v>
      </c>
      <c r="BD65" s="14">
        <f t="shared" si="27"/>
        <v>3.5528308511404275E-3</v>
      </c>
      <c r="BE65" s="9">
        <f t="shared" si="27"/>
        <v>592.66666666666663</v>
      </c>
      <c r="BF65" s="18">
        <f t="shared" si="27"/>
        <v>590.76666666666665</v>
      </c>
      <c r="BG65" s="14">
        <f t="shared" si="27"/>
        <v>3.2159541771071905E-3</v>
      </c>
      <c r="BH65" s="8">
        <f t="shared" si="27"/>
        <v>0.37283333333333324</v>
      </c>
      <c r="BI65" s="17">
        <f t="shared" si="27"/>
        <v>0.37516666666666626</v>
      </c>
      <c r="BJ65" s="14">
        <f t="shared" si="27"/>
        <v>6.1403508771929877E-3</v>
      </c>
      <c r="BK65" s="8">
        <f t="shared" si="27"/>
        <v>0.41900000000000043</v>
      </c>
      <c r="BL65" s="17">
        <f t="shared" si="27"/>
        <v>0.41950000000000054</v>
      </c>
      <c r="BM65" s="14">
        <f t="shared" si="27"/>
        <v>5.7900432900432957E-3</v>
      </c>
      <c r="BN65" s="8">
        <f t="shared" si="27"/>
        <v>0.38199999999999995</v>
      </c>
      <c r="BO65" s="17">
        <f t="shared" si="27"/>
        <v>0.38483333333333342</v>
      </c>
      <c r="BP65" s="14">
        <f t="shared" si="27"/>
        <v>9.1880341880341953E-3</v>
      </c>
      <c r="BQ65" s="8">
        <f t="shared" si="27"/>
        <v>50</v>
      </c>
      <c r="BR65" s="16">
        <f t="shared" si="27"/>
        <v>50</v>
      </c>
      <c r="BS65" s="12">
        <f t="shared" si="27"/>
        <v>0</v>
      </c>
      <c r="BT65" s="8">
        <f t="shared" si="27"/>
        <v>50</v>
      </c>
      <c r="BU65" s="16">
        <f t="shared" si="27"/>
        <v>50</v>
      </c>
      <c r="BV65" s="12">
        <f t="shared" si="27"/>
        <v>0</v>
      </c>
      <c r="BW65" s="8">
        <f t="shared" si="27"/>
        <v>50</v>
      </c>
      <c r="BX65" s="16">
        <f t="shared" si="27"/>
        <v>50</v>
      </c>
      <c r="BY65" s="12">
        <f t="shared" si="27"/>
        <v>0</v>
      </c>
      <c r="BZ65" s="8">
        <f t="shared" ref="BZ65:CE65" si="28">AVERAGE(BZ5:BZ64)</f>
        <v>0.47499999999999992</v>
      </c>
      <c r="CA65" s="17">
        <f t="shared" si="28"/>
        <v>0.45166666666666649</v>
      </c>
      <c r="CB65" s="14">
        <f t="shared" si="28"/>
        <v>0.19857142857142868</v>
      </c>
      <c r="CC65" s="8">
        <f t="shared" si="28"/>
        <v>28.399999999999991</v>
      </c>
      <c r="CD65" s="17">
        <f t="shared" si="28"/>
        <v>28.463333333333367</v>
      </c>
      <c r="CE65" s="14">
        <f t="shared" si="28"/>
        <v>3.8272794662713161E-3</v>
      </c>
    </row>
    <row r="66" spans="1:83" x14ac:dyDescent="0.35">
      <c r="E66" t="s">
        <v>36</v>
      </c>
    </row>
  </sheetData>
  <mergeCells count="32">
    <mergeCell ref="BZ3:CB3"/>
    <mergeCell ref="CC3:CE3"/>
    <mergeCell ref="BH3:BJ3"/>
    <mergeCell ref="BK3:BM3"/>
    <mergeCell ref="BN3:BP3"/>
    <mergeCell ref="BQ3:BS3"/>
    <mergeCell ref="BT3:BV3"/>
    <mergeCell ref="BW3:BY3"/>
    <mergeCell ref="BE3:BG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O3:Q3"/>
    <mergeCell ref="R3:T3"/>
    <mergeCell ref="U3:W3"/>
    <mergeCell ref="F3:H3"/>
    <mergeCell ref="I3:K3"/>
    <mergeCell ref="L3:N3"/>
    <mergeCell ref="A65:E65"/>
    <mergeCell ref="A3:A4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1DE3-FE97-4BA4-9FC7-9E920F83A3C0}">
  <dimension ref="A2:C61"/>
  <sheetViews>
    <sheetView workbookViewId="0">
      <selection activeCell="I3" sqref="I3"/>
    </sheetView>
  </sheetViews>
  <sheetFormatPr defaultRowHeight="14.5" x14ac:dyDescent="0.35"/>
  <sheetData>
    <row r="2" spans="1:3" x14ac:dyDescent="0.35">
      <c r="A2">
        <v>1</v>
      </c>
      <c r="B2">
        <v>398.53</v>
      </c>
      <c r="C2">
        <v>395.24</v>
      </c>
    </row>
    <row r="3" spans="1:3" x14ac:dyDescent="0.35">
      <c r="A3">
        <v>2</v>
      </c>
      <c r="B3">
        <v>398.53</v>
      </c>
      <c r="C3">
        <v>395.24</v>
      </c>
    </row>
    <row r="4" spans="1:3" x14ac:dyDescent="0.35">
      <c r="A4">
        <v>3</v>
      </c>
      <c r="B4">
        <v>398.53</v>
      </c>
      <c r="C4">
        <v>395.24</v>
      </c>
    </row>
    <row r="5" spans="1:3" x14ac:dyDescent="0.35">
      <c r="A5">
        <v>4</v>
      </c>
      <c r="B5">
        <v>398.53</v>
      </c>
      <c r="C5">
        <v>395.24</v>
      </c>
    </row>
    <row r="6" spans="1:3" x14ac:dyDescent="0.35">
      <c r="A6">
        <v>5</v>
      </c>
      <c r="B6">
        <v>398.53</v>
      </c>
      <c r="C6">
        <v>395.24</v>
      </c>
    </row>
    <row r="7" spans="1:3" x14ac:dyDescent="0.35">
      <c r="A7">
        <v>6</v>
      </c>
      <c r="B7">
        <v>398.53</v>
      </c>
      <c r="C7">
        <v>395.24</v>
      </c>
    </row>
    <row r="8" spans="1:3" x14ac:dyDescent="0.35">
      <c r="A8">
        <v>7</v>
      </c>
      <c r="B8">
        <v>398.53</v>
      </c>
      <c r="C8">
        <v>395.24</v>
      </c>
    </row>
    <row r="9" spans="1:3" x14ac:dyDescent="0.35">
      <c r="A9">
        <v>8</v>
      </c>
      <c r="B9">
        <v>398.53</v>
      </c>
      <c r="C9">
        <v>395.24</v>
      </c>
    </row>
    <row r="10" spans="1:3" x14ac:dyDescent="0.35">
      <c r="A10">
        <v>9</v>
      </c>
      <c r="B10">
        <v>398.53</v>
      </c>
      <c r="C10">
        <v>395.24</v>
      </c>
    </row>
    <row r="11" spans="1:3" x14ac:dyDescent="0.35">
      <c r="A11">
        <v>10</v>
      </c>
      <c r="B11">
        <v>398.53</v>
      </c>
      <c r="C11">
        <v>395.24</v>
      </c>
    </row>
    <row r="12" spans="1:3" x14ac:dyDescent="0.35">
      <c r="A12">
        <v>11</v>
      </c>
      <c r="B12">
        <v>398.53</v>
      </c>
      <c r="C12">
        <v>395.24</v>
      </c>
    </row>
    <row r="13" spans="1:3" x14ac:dyDescent="0.35">
      <c r="A13">
        <v>12</v>
      </c>
      <c r="B13">
        <v>398.53</v>
      </c>
      <c r="C13">
        <v>395.24</v>
      </c>
    </row>
    <row r="14" spans="1:3" x14ac:dyDescent="0.35">
      <c r="A14">
        <v>13</v>
      </c>
      <c r="B14">
        <v>398.53</v>
      </c>
      <c r="C14">
        <v>395.24</v>
      </c>
    </row>
    <row r="15" spans="1:3" x14ac:dyDescent="0.35">
      <c r="A15">
        <v>14</v>
      </c>
      <c r="B15">
        <v>398.53</v>
      </c>
      <c r="C15">
        <v>395.24</v>
      </c>
    </row>
    <row r="16" spans="1:3" x14ac:dyDescent="0.35">
      <c r="A16">
        <v>15</v>
      </c>
      <c r="B16">
        <v>398.53</v>
      </c>
      <c r="C16">
        <v>395.42</v>
      </c>
    </row>
    <row r="17" spans="1:3" x14ac:dyDescent="0.35">
      <c r="A17">
        <v>16</v>
      </c>
      <c r="B17">
        <v>398.53</v>
      </c>
      <c r="C17">
        <v>395.42</v>
      </c>
    </row>
    <row r="18" spans="1:3" x14ac:dyDescent="0.35">
      <c r="A18">
        <v>17</v>
      </c>
      <c r="B18">
        <v>398.53</v>
      </c>
      <c r="C18">
        <v>395.07</v>
      </c>
    </row>
    <row r="19" spans="1:3" x14ac:dyDescent="0.35">
      <c r="A19">
        <v>18</v>
      </c>
      <c r="B19">
        <v>398.53</v>
      </c>
      <c r="C19">
        <v>395.24</v>
      </c>
    </row>
    <row r="20" spans="1:3" x14ac:dyDescent="0.35">
      <c r="A20">
        <v>19</v>
      </c>
      <c r="B20">
        <v>398.53</v>
      </c>
      <c r="C20">
        <v>395.24</v>
      </c>
    </row>
    <row r="21" spans="1:3" x14ac:dyDescent="0.35">
      <c r="A21">
        <v>20</v>
      </c>
      <c r="B21">
        <v>398.53</v>
      </c>
      <c r="C21">
        <v>395.42</v>
      </c>
    </row>
    <row r="22" spans="1:3" x14ac:dyDescent="0.35">
      <c r="A22">
        <v>21</v>
      </c>
      <c r="B22">
        <v>398.36</v>
      </c>
      <c r="C22">
        <v>395.42</v>
      </c>
    </row>
    <row r="23" spans="1:3" x14ac:dyDescent="0.35">
      <c r="A23">
        <v>22</v>
      </c>
      <c r="B23">
        <v>398.36</v>
      </c>
      <c r="C23">
        <v>395.42</v>
      </c>
    </row>
    <row r="24" spans="1:3" x14ac:dyDescent="0.35">
      <c r="A24">
        <v>23</v>
      </c>
      <c r="B24">
        <v>398.36</v>
      </c>
      <c r="C24">
        <v>395.42</v>
      </c>
    </row>
    <row r="25" spans="1:3" x14ac:dyDescent="0.35">
      <c r="A25">
        <v>24</v>
      </c>
      <c r="B25">
        <v>398.36</v>
      </c>
      <c r="C25">
        <v>395.42</v>
      </c>
    </row>
    <row r="26" spans="1:3" x14ac:dyDescent="0.35">
      <c r="A26">
        <v>25</v>
      </c>
      <c r="B26">
        <v>398.53</v>
      </c>
      <c r="C26">
        <v>395.42</v>
      </c>
    </row>
    <row r="27" spans="1:3" x14ac:dyDescent="0.35">
      <c r="A27">
        <v>26</v>
      </c>
      <c r="B27">
        <v>398.53</v>
      </c>
      <c r="C27">
        <v>395.42</v>
      </c>
    </row>
    <row r="28" spans="1:3" x14ac:dyDescent="0.35">
      <c r="A28">
        <v>27</v>
      </c>
      <c r="B28">
        <v>398.36</v>
      </c>
      <c r="C28">
        <v>395.42</v>
      </c>
    </row>
    <row r="29" spans="1:3" x14ac:dyDescent="0.35">
      <c r="A29">
        <v>28</v>
      </c>
      <c r="B29">
        <v>398.53</v>
      </c>
      <c r="C29">
        <v>395.59</v>
      </c>
    </row>
    <row r="30" spans="1:3" x14ac:dyDescent="0.35">
      <c r="A30">
        <v>29</v>
      </c>
      <c r="B30">
        <v>398.53</v>
      </c>
      <c r="C30">
        <v>395.59</v>
      </c>
    </row>
    <row r="31" spans="1:3" x14ac:dyDescent="0.35">
      <c r="A31">
        <v>30</v>
      </c>
      <c r="B31">
        <v>398.53</v>
      </c>
      <c r="C31">
        <v>395.59</v>
      </c>
    </row>
    <row r="32" spans="1:3" x14ac:dyDescent="0.35">
      <c r="A32">
        <v>31</v>
      </c>
      <c r="B32">
        <v>398.53</v>
      </c>
      <c r="C32">
        <v>395.59</v>
      </c>
    </row>
    <row r="33" spans="1:3" x14ac:dyDescent="0.35">
      <c r="A33">
        <v>32</v>
      </c>
      <c r="B33">
        <v>398.36</v>
      </c>
      <c r="C33">
        <v>395.59</v>
      </c>
    </row>
    <row r="34" spans="1:3" x14ac:dyDescent="0.35">
      <c r="A34">
        <v>33</v>
      </c>
      <c r="B34">
        <v>398.36</v>
      </c>
      <c r="C34">
        <v>395.42</v>
      </c>
    </row>
    <row r="35" spans="1:3" x14ac:dyDescent="0.35">
      <c r="A35">
        <v>34</v>
      </c>
      <c r="B35">
        <v>398.36</v>
      </c>
      <c r="C35">
        <v>395.42</v>
      </c>
    </row>
    <row r="36" spans="1:3" x14ac:dyDescent="0.35">
      <c r="A36">
        <v>35</v>
      </c>
      <c r="B36">
        <v>398.36</v>
      </c>
      <c r="C36">
        <v>395.42</v>
      </c>
    </row>
    <row r="37" spans="1:3" x14ac:dyDescent="0.35">
      <c r="A37">
        <v>36</v>
      </c>
      <c r="B37">
        <v>398.36</v>
      </c>
      <c r="C37">
        <v>395.42</v>
      </c>
    </row>
    <row r="38" spans="1:3" x14ac:dyDescent="0.35">
      <c r="A38">
        <v>37</v>
      </c>
      <c r="B38">
        <v>398.53</v>
      </c>
      <c r="C38">
        <v>395.42</v>
      </c>
    </row>
    <row r="39" spans="1:3" x14ac:dyDescent="0.35">
      <c r="A39">
        <v>38</v>
      </c>
      <c r="B39">
        <v>398.53</v>
      </c>
      <c r="C39">
        <v>395.42</v>
      </c>
    </row>
    <row r="40" spans="1:3" x14ac:dyDescent="0.35">
      <c r="A40">
        <v>39</v>
      </c>
      <c r="B40">
        <v>398.36</v>
      </c>
      <c r="C40">
        <v>395.42</v>
      </c>
    </row>
    <row r="41" spans="1:3" x14ac:dyDescent="0.35">
      <c r="A41">
        <v>40</v>
      </c>
      <c r="B41">
        <v>398.36</v>
      </c>
      <c r="C41">
        <v>395.59</v>
      </c>
    </row>
    <row r="42" spans="1:3" x14ac:dyDescent="0.35">
      <c r="A42">
        <v>41</v>
      </c>
      <c r="B42">
        <v>398.53</v>
      </c>
      <c r="C42">
        <v>395.42</v>
      </c>
    </row>
    <row r="43" spans="1:3" x14ac:dyDescent="0.35">
      <c r="A43">
        <v>42</v>
      </c>
      <c r="B43">
        <v>398.53</v>
      </c>
      <c r="C43">
        <v>395.59</v>
      </c>
    </row>
    <row r="44" spans="1:3" x14ac:dyDescent="0.35">
      <c r="A44">
        <v>43</v>
      </c>
      <c r="B44">
        <v>398.36</v>
      </c>
      <c r="C44">
        <v>395.42</v>
      </c>
    </row>
    <row r="45" spans="1:3" x14ac:dyDescent="0.35">
      <c r="A45">
        <v>44</v>
      </c>
      <c r="B45">
        <v>398.53</v>
      </c>
      <c r="C45">
        <v>395.42</v>
      </c>
    </row>
    <row r="46" spans="1:3" x14ac:dyDescent="0.35">
      <c r="A46">
        <v>45</v>
      </c>
      <c r="B46">
        <v>398.53</v>
      </c>
      <c r="C46">
        <v>395.42</v>
      </c>
    </row>
    <row r="47" spans="1:3" x14ac:dyDescent="0.35">
      <c r="A47">
        <v>46</v>
      </c>
      <c r="B47">
        <v>398.53</v>
      </c>
      <c r="C47">
        <v>395.59</v>
      </c>
    </row>
    <row r="48" spans="1:3" x14ac:dyDescent="0.35">
      <c r="A48">
        <v>47</v>
      </c>
      <c r="B48">
        <v>398.53</v>
      </c>
      <c r="C48">
        <v>395.59</v>
      </c>
    </row>
    <row r="49" spans="1:3" x14ac:dyDescent="0.35">
      <c r="A49">
        <v>48</v>
      </c>
      <c r="B49">
        <v>398.36</v>
      </c>
      <c r="C49">
        <v>395.59</v>
      </c>
    </row>
    <row r="50" spans="1:3" x14ac:dyDescent="0.35">
      <c r="A50">
        <v>49</v>
      </c>
      <c r="B50">
        <v>398.36</v>
      </c>
      <c r="C50">
        <v>395.59</v>
      </c>
    </row>
    <row r="51" spans="1:3" x14ac:dyDescent="0.35">
      <c r="A51">
        <v>50</v>
      </c>
      <c r="B51">
        <v>398.53</v>
      </c>
      <c r="C51">
        <v>395.59</v>
      </c>
    </row>
    <row r="52" spans="1:3" x14ac:dyDescent="0.35">
      <c r="A52">
        <v>51</v>
      </c>
      <c r="B52">
        <v>398.53</v>
      </c>
      <c r="C52">
        <v>395.59</v>
      </c>
    </row>
    <row r="53" spans="1:3" x14ac:dyDescent="0.35">
      <c r="A53">
        <v>52</v>
      </c>
      <c r="B53">
        <v>398.53</v>
      </c>
      <c r="C53">
        <v>395.42</v>
      </c>
    </row>
    <row r="54" spans="1:3" x14ac:dyDescent="0.35">
      <c r="A54">
        <v>53</v>
      </c>
      <c r="B54">
        <v>398.53</v>
      </c>
      <c r="C54">
        <v>395.42</v>
      </c>
    </row>
    <row r="55" spans="1:3" x14ac:dyDescent="0.35">
      <c r="A55">
        <v>54</v>
      </c>
      <c r="B55">
        <v>398.53</v>
      </c>
      <c r="C55">
        <v>395.42</v>
      </c>
    </row>
    <row r="56" spans="1:3" x14ac:dyDescent="0.35">
      <c r="A56">
        <v>55</v>
      </c>
      <c r="B56">
        <v>398.53</v>
      </c>
      <c r="C56">
        <v>395.59</v>
      </c>
    </row>
    <row r="57" spans="1:3" x14ac:dyDescent="0.35">
      <c r="A57">
        <v>56</v>
      </c>
      <c r="B57">
        <v>398.53</v>
      </c>
      <c r="C57">
        <v>395.59</v>
      </c>
    </row>
    <row r="58" spans="1:3" x14ac:dyDescent="0.35">
      <c r="A58">
        <v>57</v>
      </c>
      <c r="B58">
        <v>398.53</v>
      </c>
      <c r="C58">
        <v>395.42</v>
      </c>
    </row>
    <row r="59" spans="1:3" x14ac:dyDescent="0.35">
      <c r="A59">
        <v>58</v>
      </c>
      <c r="B59">
        <v>398.53</v>
      </c>
      <c r="C59">
        <v>395.42</v>
      </c>
    </row>
    <row r="60" spans="1:3" x14ac:dyDescent="0.35">
      <c r="A60">
        <v>59</v>
      </c>
      <c r="B60">
        <v>398.36</v>
      </c>
      <c r="C60">
        <v>395.42</v>
      </c>
    </row>
    <row r="61" spans="1:3" x14ac:dyDescent="0.35">
      <c r="A61">
        <v>60</v>
      </c>
      <c r="B61">
        <v>398.36</v>
      </c>
      <c r="C61">
        <v>395.59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Geraldine Purba</dc:creator>
  <cp:lastModifiedBy>Raphael Geraldine Purba</cp:lastModifiedBy>
  <dcterms:created xsi:type="dcterms:W3CDTF">2026-03-14T15:11:25Z</dcterms:created>
  <dcterms:modified xsi:type="dcterms:W3CDTF">2026-04-03T16:12:33Z</dcterms:modified>
</cp:coreProperties>
</file>